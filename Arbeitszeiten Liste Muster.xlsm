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0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11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3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4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DieseArbeitsmappe" defaultThemeVersion="124226"/>
  <bookViews>
    <workbookView xWindow="120" yWindow="45" windowWidth="24240" windowHeight="12840" tabRatio="824"/>
  </bookViews>
  <sheets>
    <sheet name="Übersicht" sheetId="1" r:id="rId1"/>
    <sheet name="Januar" sheetId="2" r:id="rId2"/>
    <sheet name="Tabelle2" sheetId="5" state="hidden" r:id="rId3"/>
    <sheet name="Februar" sheetId="16" r:id="rId4"/>
    <sheet name="März" sheetId="17" r:id="rId5"/>
    <sheet name="April" sheetId="6" r:id="rId6"/>
    <sheet name="Mai" sheetId="7" r:id="rId7"/>
    <sheet name="Juni" sheetId="8" r:id="rId8"/>
    <sheet name="Juli" sheetId="9" r:id="rId9"/>
    <sheet name="August" sheetId="10" r:id="rId10"/>
    <sheet name="September" sheetId="11" r:id="rId11"/>
    <sheet name="Oktober" sheetId="12" r:id="rId12"/>
    <sheet name="November" sheetId="13" r:id="rId13"/>
    <sheet name="Dezember" sheetId="14" r:id="rId14"/>
    <sheet name="JahresKalender" sheetId="15" r:id="rId15"/>
    <sheet name="Einstellungen" sheetId="18" r:id="rId16"/>
  </sheets>
  <functionGroups builtInGroupCount="17"/>
  <calcPr calcId="144525"/>
</workbook>
</file>

<file path=xl/calcChain.xml><?xml version="1.0" encoding="utf-8"?>
<calcChain xmlns="http://schemas.openxmlformats.org/spreadsheetml/2006/main">
  <c r="L15" i="1" l="1"/>
  <c r="F2" i="14"/>
  <c r="F2" i="13"/>
  <c r="F2" i="12"/>
  <c r="F2" i="11"/>
  <c r="F2" i="10"/>
  <c r="F2" i="9"/>
  <c r="F2" i="8"/>
  <c r="F2" i="7"/>
  <c r="F2" i="6"/>
  <c r="F2" i="17"/>
  <c r="F2" i="16"/>
  <c r="F2" i="2"/>
  <c r="K3" i="14"/>
  <c r="H2" i="14"/>
  <c r="F4" i="14"/>
  <c r="F3" i="14"/>
  <c r="H4" i="14" s="1"/>
  <c r="F1" i="14"/>
  <c r="L19" i="1"/>
  <c r="L18" i="1"/>
  <c r="L17" i="1"/>
  <c r="L16" i="1"/>
  <c r="L26" i="1" s="1"/>
  <c r="L27" i="1"/>
  <c r="K3" i="13"/>
  <c r="H2" i="13"/>
  <c r="F4" i="13"/>
  <c r="F3" i="13"/>
  <c r="H4" i="13" s="1"/>
  <c r="F1" i="13"/>
  <c r="K3" i="12"/>
  <c r="H2" i="12"/>
  <c r="F4" i="12"/>
  <c r="F3" i="12"/>
  <c r="H4" i="12" s="1"/>
  <c r="F1" i="12"/>
  <c r="K3" i="11"/>
  <c r="H2" i="11"/>
  <c r="F4" i="11"/>
  <c r="F3" i="11"/>
  <c r="H4" i="11" s="1"/>
  <c r="F1" i="11"/>
  <c r="K3" i="10"/>
  <c r="H2" i="10"/>
  <c r="F4" i="10"/>
  <c r="F3" i="10"/>
  <c r="H4" i="10" s="1"/>
  <c r="F1" i="10"/>
  <c r="K3" i="9"/>
  <c r="H2" i="9"/>
  <c r="F4" i="9"/>
  <c r="F3" i="9"/>
  <c r="H4" i="9" s="1"/>
  <c r="F1" i="9"/>
  <c r="K3" i="8"/>
  <c r="H2" i="8"/>
  <c r="F4" i="8"/>
  <c r="F3" i="8"/>
  <c r="H4" i="8" s="1"/>
  <c r="F1" i="8"/>
  <c r="K3" i="7"/>
  <c r="H2" i="7"/>
  <c r="F4" i="7"/>
  <c r="F3" i="7"/>
  <c r="H4" i="7" s="1"/>
  <c r="F1" i="7"/>
  <c r="K3" i="6"/>
  <c r="H2" i="6"/>
  <c r="F4" i="6"/>
  <c r="F3" i="6"/>
  <c r="H4" i="6" s="1"/>
  <c r="F1" i="6"/>
  <c r="K3" i="17"/>
  <c r="H2" i="17"/>
  <c r="F4" i="17"/>
  <c r="F3" i="17"/>
  <c r="H4" i="17" s="1"/>
  <c r="F1" i="17"/>
  <c r="K3" i="16"/>
  <c r="H2" i="16"/>
  <c r="F4" i="16"/>
  <c r="F3" i="16"/>
  <c r="H4" i="16" s="1"/>
  <c r="F1" i="16"/>
  <c r="K3" i="2"/>
  <c r="H2" i="2"/>
  <c r="F4" i="2"/>
  <c r="F3" i="2"/>
  <c r="H4" i="2" s="1"/>
  <c r="F1" i="2"/>
  <c r="G2" i="1"/>
  <c r="G1" i="1"/>
  <c r="L14" i="1" l="1"/>
</calcChain>
</file>

<file path=xl/sharedStrings.xml><?xml version="1.0" encoding="utf-8"?>
<sst xmlns="http://schemas.openxmlformats.org/spreadsheetml/2006/main" count="314" uniqueCount="81">
  <si>
    <t>Aktionen:</t>
  </si>
  <si>
    <t>Jahresübersicht:</t>
  </si>
  <si>
    <t>Datum</t>
  </si>
  <si>
    <t>Anfang</t>
  </si>
  <si>
    <t>Ende</t>
  </si>
  <si>
    <t>Stunden</t>
  </si>
  <si>
    <t>Einsatz</t>
  </si>
  <si>
    <t>Anmerkungen</t>
  </si>
  <si>
    <t>Bezeichnung</t>
  </si>
  <si>
    <t>Mehrstunden</t>
  </si>
  <si>
    <t>Spesen</t>
  </si>
  <si>
    <t>Arbeitstundenübersicht Januar</t>
  </si>
  <si>
    <t>Pause</t>
  </si>
  <si>
    <t>Arbeitstundenübersicht Februar</t>
  </si>
  <si>
    <t>Arbeitstundenübersicht März</t>
  </si>
  <si>
    <t>Arbeitstundenübersicht April</t>
  </si>
  <si>
    <t>Arbeitstundenübersicht Mai</t>
  </si>
  <si>
    <t>Arbeitstundenübersicht Juni</t>
  </si>
  <si>
    <t>Arbeitstundenübersicht Juli</t>
  </si>
  <si>
    <t>Arbeitstundenübersicht August</t>
  </si>
  <si>
    <t>Arbeitstundenübersicht September</t>
  </si>
  <si>
    <t>Arbeitstundenübersicht Oktober</t>
  </si>
  <si>
    <t>Arbeitstundenübersicht November</t>
  </si>
  <si>
    <t>Arbeitstundenübersicht Dezember</t>
  </si>
  <si>
    <t xml:space="preserve">                 Standartstunden:</t>
  </si>
  <si>
    <t xml:space="preserve">        Gearbeitete Stunden:</t>
  </si>
  <si>
    <t xml:space="preserve">                       Mehrstunden:</t>
  </si>
  <si>
    <t xml:space="preserve">                                                                                                                            Soll Arbeitszeit:</t>
  </si>
  <si>
    <t xml:space="preserve">                                                                                                              Durschnittsarbeitszeit:</t>
  </si>
  <si>
    <t>Standart Stunden pro Tag:</t>
  </si>
  <si>
    <t xml:space="preserve">       Gearbeitete Stunden:</t>
  </si>
  <si>
    <t xml:space="preserve">                  Mehrstunden:</t>
  </si>
  <si>
    <t xml:space="preserve">             Pausen stunden:</t>
  </si>
  <si>
    <t xml:space="preserve">               Soll Arbeitszeit:</t>
  </si>
  <si>
    <t xml:space="preserve">      Durschnittsabeitszeit:</t>
  </si>
  <si>
    <t xml:space="preserve">       Tage nicht gearbeitet:</t>
  </si>
  <si>
    <t xml:space="preserve">               Krankheitstage:</t>
  </si>
  <si>
    <t xml:space="preserve">              Tage gearbeitet:</t>
  </si>
  <si>
    <t>Urlaub in einem Jahr (Ganzzahl)</t>
  </si>
  <si>
    <t>Vom Vorjahr übenommener Urlaub (Ganzzahl)</t>
  </si>
  <si>
    <t>Stndartsarbeitszeit (hh:mm)</t>
  </si>
  <si>
    <t xml:space="preserve"> Genommene Urlaubstage:</t>
  </si>
  <si>
    <t xml:space="preserve">                     Resturlaub:</t>
  </si>
  <si>
    <t xml:space="preserve"> </t>
  </si>
  <si>
    <t xml:space="preserve">  Gleizeittage genommen:</t>
  </si>
  <si>
    <t xml:space="preserve">    Gleizeit in Arbeitstage:</t>
  </si>
  <si>
    <t>Name:</t>
  </si>
  <si>
    <t>Abteilung:</t>
  </si>
  <si>
    <t>Testnutzer</t>
  </si>
  <si>
    <t>staatssicherheit ost</t>
  </si>
  <si>
    <t>Excel Arbeitstundenübersicht</t>
  </si>
  <si>
    <t>Krankheitstage:</t>
  </si>
  <si>
    <t xml:space="preserve">                                                                                                          Gleizeittage genommen:</t>
  </si>
  <si>
    <t xml:space="preserve">                                                                                                              Gleizeit in Arbeitstage: </t>
  </si>
  <si>
    <t xml:space="preserve">    Urlaubtage:</t>
  </si>
  <si>
    <t xml:space="preserve">          Bezahlte Stunden:</t>
  </si>
  <si>
    <t xml:space="preserve">             Bezahlte Stunden:</t>
  </si>
  <si>
    <t xml:space="preserve">         Pause:</t>
  </si>
  <si>
    <t>Januar</t>
  </si>
  <si>
    <t>JahresKalender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</si>
  <si>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</si>
  <si>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</si>
  <si>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</si>
  <si>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</si>
  <si>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</si>
  <si>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</si>
  <si>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</si>
  <si>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</si>
  <si>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</si>
  <si>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</si>
  <si>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</si>
  <si>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Arbeitstag:</t>
  </si>
  <si>
    <t>Wochenende:</t>
  </si>
  <si>
    <t>Urlaub:</t>
  </si>
  <si>
    <t>Gleitzeittag:</t>
  </si>
  <si>
    <t>Krankheitstag:</t>
  </si>
  <si>
    <t>Keine Arbeit:</t>
  </si>
  <si>
    <t>Feiertag:</t>
  </si>
  <si>
    <t>Legende:</t>
  </si>
  <si>
    <t>Lade Kalender bei jedem neuem Eintrag</t>
  </si>
  <si>
    <t>Beim Schließen Speicherdialog anzeigen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</si>
</sst>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hh]:mm"/>
  </numFmts>
  <fonts count="9" x14ac:knownFonts="1">
    <font>
      <sz val="10"/>
      <color theme="1"/>
      <name val="Arial"/>
      <family val="2"/>
    </font>
    <font>
      <sz val="11"/>
      <color rgb="FF9C0006"/>
      <name val="Calibri"/>
      <family val="2"/>
      <scheme val="minor"/>
    </font>
    <font>
      <b/>
      <sz val="16"/>
      <color theme="1"/>
      <name val="Arial"/>
      <family val="2"/>
    </font>
    <font>
      <sz val="11"/>
      <color theme="1"/>
      <name val="Arial"/>
      <family val="2"/>
    </font>
    <font>
      <sz val="12"/>
      <color rgb="FF000000"/>
      <name val="Arial"/>
      <family val="2"/>
    </font>
    <font>
      <sz val="11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1"/>
      <color theme="1"/>
      <name val="Arial"/>
      <family val="2"/>
    </font>
    <font>
      <b/>
      <sz val="12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4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9">
    <xf numFmtId="0" fontId="0" fillId="0" borderId="0" xfId="0"/>
    <xf numFmtId="0" fontId="1" fillId="2" borderId="0" xfId="1"/>
    <xf numFmtId="0" fontId="2" fillId="0" borderId="0" xfId="0" applyFont="1"/>
    <xf numFmtId="0" fontId="0" fillId="3" borderId="0" xfId="0" applyFill="1"/>
    <xf numFmtId="0" fontId="0" fillId="4" borderId="0" xfId="0" applyFill="1"/>
    <xf numFmtId="0" fontId="3" fillId="5" borderId="1" xfId="0" applyFont="1" applyFill="1" applyBorder="1"/>
    <xf numFmtId="0" fontId="0" fillId="0" borderId="0" xfId="0" applyBorder="1"/>
    <xf numFmtId="20" fontId="0" fillId="3" borderId="0" xfId="0" applyNumberFormat="1" applyFill="1"/>
    <xf numFmtId="164" fontId="0" fillId="3" borderId="0" xfId="0" applyNumberFormat="1" applyFill="1"/>
    <xf numFmtId="0" fontId="0" fillId="3" borderId="0" xfId="0" applyNumberFormat="1" applyFill="1"/>
    <xf numFmtId="0" fontId="5" fillId="2" borderId="0" xfId="1" applyFont="1"/>
    <xf numFmtId="0" fontId="6" fillId="2" borderId="0" xfId="1" applyFont="1"/>
    <xf numFmtId="164" fontId="1" fillId="2" borderId="0" xfId="1" applyNumberFormat="1" applyAlignment="1">
      <alignment horizontal="left"/>
    </xf>
    <xf numFmtId="0" fontId="1" fillId="2" borderId="0" xfId="1" applyAlignment="1">
      <alignment horizontal="left"/>
    </xf>
    <xf numFmtId="164" fontId="5" fillId="2" borderId="0" xfId="1" applyNumberFormat="1" applyFont="1" applyAlignment="1">
      <alignment horizontal="left"/>
    </xf>
    <xf numFmtId="20" fontId="5" fillId="2" borderId="0" xfId="1" applyNumberFormat="1" applyFont="1" applyAlignment="1">
      <alignment horizontal="left"/>
    </xf>
    <xf numFmtId="0" fontId="0" fillId="0" borderId="0" xfId="0" applyAlignment="1">
      <alignment horizontal="center" vertical="center"/>
    </xf>
    <xf numFmtId="0" fontId="0" fillId="0" borderId="2" xfId="0" applyBorder="1"/>
    <xf numFmtId="20" fontId="0" fillId="0" borderId="2" xfId="0" applyNumberFormat="1" applyBorder="1"/>
    <xf numFmtId="0" fontId="0" fillId="0" borderId="0" xfId="0" applyAlignment="1">
      <alignment horizontal="right"/>
    </xf>
    <xf numFmtId="0" fontId="7" fillId="0" borderId="0" xfId="0" applyFont="1"/>
    <xf numFmtId="0" fontId="8" fillId="0" borderId="0" xfId="0" applyFont="1"/>
    <xf numFmtId="0" fontId="0" fillId="6" borderId="2" xfId="0" applyFill="1" applyBorder="1"/>
    <xf numFmtId="0" fontId="0" fillId="0" borderId="0" xfId="0" applyFill="1"/>
    <xf numFmtId="0" fontId="0" fillId="0" borderId="2" xfId="0" applyFill="1" applyBorder="1"/>
    <xf numFmtId="0" fontId="1" fillId="2" borderId="0" xfId="1" applyNumberFormat="1" applyAlignment="1">
      <alignment horizontal="left"/>
    </xf>
    <xf numFmtId="164" fontId="0" fillId="0" borderId="2" xfId="0" applyNumberFormat="1" applyFont="1" applyFill="1" applyBorder="1" applyAlignment="1">
      <alignment horizontal="center"/>
    </xf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0" borderId="1" xfId="0" applyFont="1" applyFill="1" applyBorder="1" applyAlignment="1">
      <alignment horizontal="center"/>
    </xf>
    <xf numFmtId="164" fontId="0" fillId="0" borderId="1" xfId="0" applyNumberFormat="1" applyFont="1" applyFill="1" applyBorder="1" applyAlignment="1">
      <alignment horizontal="center"/>
    </xf>
    <xf numFmtId="164" fontId="0" fillId="0" borderId="0" xfId="0" applyNumberFormat="1" applyFill="1" applyBorder="1"/>
    <xf numFmtId="0" fontId="0" fillId="0" borderId="0" xfId="0" applyFill="1" applyBorder="1"/>
    <xf numFmtId="0" fontId="2" fillId="0" borderId="0" xfId="0" applyFont="1" applyFill="1" applyBorder="1"/>
    <xf numFmtId="164" fontId="2" fillId="0" borderId="0" xfId="0" applyNumberFormat="1" applyFont="1" applyFill="1" applyBorder="1"/>
    <xf numFmtId="164" fontId="0" fillId="3" borderId="0" xfId="0" applyNumberFormat="1" applyFill="1" applyBorder="1"/>
    <xf numFmtId="0" fontId="0" fillId="3" borderId="0" xfId="0" applyFill="1" applyBorder="1"/>
    <xf numFmtId="0" fontId="0" fillId="10" borderId="2" xfId="0" applyFill="1" applyBorder="1"/>
  </cellXfs>
  <cellStyles count="2">
    <cellStyle name="Schlecht" xfId="1" builtinId="27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</xdr:row>
          <xdr:rowOff>47625</xdr:rowOff>
        </xdr:from>
        <xdr:to>
          <xdr:col>4</xdr:col>
          <xdr:colOff>590550</xdr:colOff>
          <xdr:row>15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Tag Hinzufügen [strg + f]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16</xdr:row>
          <xdr:rowOff>123825</xdr:rowOff>
        </xdr:from>
        <xdr:to>
          <xdr:col>4</xdr:col>
          <xdr:colOff>600075</xdr:colOff>
          <xdr:row>19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Zu Datum Springen [strg + j]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20</xdr:row>
          <xdr:rowOff>57150</xdr:rowOff>
        </xdr:from>
        <xdr:to>
          <xdr:col>4</xdr:col>
          <xdr:colOff>609600</xdr:colOff>
          <xdr:row>22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Aktualisieren [strg + r]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23</xdr:row>
          <xdr:rowOff>133350</xdr:rowOff>
        </xdr:from>
        <xdr:to>
          <xdr:col>4</xdr:col>
          <xdr:colOff>609600</xdr:colOff>
          <xdr:row>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Designer &amp; Aktionen[strg + a]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27</xdr:row>
          <xdr:rowOff>57150</xdr:rowOff>
        </xdr:from>
        <xdr:to>
          <xdr:col>4</xdr:col>
          <xdr:colOff>600075</xdr:colOff>
          <xdr:row>29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Sichern und Impotieren[strg + s]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129721</xdr:colOff>
          <xdr:row>0</xdr:row>
          <xdr:rowOff>72117</xdr:rowOff>
        </xdr:from>
        <xdr:to>
          <xdr:col>17</xdr:col>
          <xdr:colOff>453571</xdr:colOff>
          <xdr:row>1</xdr:row>
          <xdr:rowOff>87992</xdr:rowOff>
        </xdr:to>
        <xdr:sp macro="" textlink="">
          <xdr:nvSpPr>
            <xdr:cNvPr id="1030" name="Image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463096</xdr:colOff>
          <xdr:row>0</xdr:row>
          <xdr:rowOff>72117</xdr:rowOff>
        </xdr:from>
        <xdr:to>
          <xdr:col>17</xdr:col>
          <xdr:colOff>728889</xdr:colOff>
          <xdr:row>1</xdr:row>
          <xdr:rowOff>87992</xdr:rowOff>
        </xdr:to>
        <xdr:sp macro="" textlink="">
          <xdr:nvSpPr>
            <xdr:cNvPr id="1031" name="Image2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738414</xdr:colOff>
          <xdr:row>0</xdr:row>
          <xdr:rowOff>72117</xdr:rowOff>
        </xdr:from>
        <xdr:to>
          <xdr:col>18</xdr:col>
          <xdr:colOff>245382</xdr:colOff>
          <xdr:row>1</xdr:row>
          <xdr:rowOff>87992</xdr:rowOff>
        </xdr:to>
        <xdr:sp macro="" textlink="">
          <xdr:nvSpPr>
            <xdr:cNvPr id="1032" name="Image3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1028700</xdr:colOff>
          <xdr:row>0</xdr:row>
          <xdr:rowOff>38100</xdr:rowOff>
        </xdr:from>
        <xdr:to>
          <xdr:col>13</xdr:col>
          <xdr:colOff>314325</xdr:colOff>
          <xdr:row>1</xdr:row>
          <xdr:rowOff>104775</xdr:rowOff>
        </xdr:to>
        <xdr:sp macro="" textlink="">
          <xdr:nvSpPr>
            <xdr:cNvPr id="17409" name="Image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38100</xdr:rowOff>
        </xdr:from>
        <xdr:to>
          <xdr:col>13</xdr:col>
          <xdr:colOff>590550</xdr:colOff>
          <xdr:row>1</xdr:row>
          <xdr:rowOff>104775</xdr:rowOff>
        </xdr:to>
        <xdr:sp macro="" textlink="">
          <xdr:nvSpPr>
            <xdr:cNvPr id="17410" name="Image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0</xdr:row>
          <xdr:rowOff>38100</xdr:rowOff>
        </xdr:from>
        <xdr:to>
          <xdr:col>13</xdr:col>
          <xdr:colOff>866775</xdr:colOff>
          <xdr:row>1</xdr:row>
          <xdr:rowOff>104775</xdr:rowOff>
        </xdr:to>
        <xdr:sp macro="" textlink="">
          <xdr:nvSpPr>
            <xdr:cNvPr id="17411" name="Image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28575</xdr:rowOff>
        </xdr:from>
        <xdr:to>
          <xdr:col>13</xdr:col>
          <xdr:colOff>323850</xdr:colOff>
          <xdr:row>1</xdr:row>
          <xdr:rowOff>95250</xdr:rowOff>
        </xdr:to>
        <xdr:sp macro="" textlink="">
          <xdr:nvSpPr>
            <xdr:cNvPr id="19457" name="Image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333375</xdr:colOff>
          <xdr:row>0</xdr:row>
          <xdr:rowOff>28575</xdr:rowOff>
        </xdr:from>
        <xdr:to>
          <xdr:col>13</xdr:col>
          <xdr:colOff>600075</xdr:colOff>
          <xdr:row>1</xdr:row>
          <xdr:rowOff>95250</xdr:rowOff>
        </xdr:to>
        <xdr:sp macro="" textlink="">
          <xdr:nvSpPr>
            <xdr:cNvPr id="19458" name="Image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609600</xdr:colOff>
          <xdr:row>0</xdr:row>
          <xdr:rowOff>28575</xdr:rowOff>
        </xdr:from>
        <xdr:to>
          <xdr:col>13</xdr:col>
          <xdr:colOff>876300</xdr:colOff>
          <xdr:row>1</xdr:row>
          <xdr:rowOff>95250</xdr:rowOff>
        </xdr:to>
        <xdr:sp macro="" textlink="">
          <xdr:nvSpPr>
            <xdr:cNvPr id="19459" name="Image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28575</xdr:rowOff>
        </xdr:from>
        <xdr:to>
          <xdr:col>13</xdr:col>
          <xdr:colOff>333375</xdr:colOff>
          <xdr:row>1</xdr:row>
          <xdr:rowOff>95250</xdr:rowOff>
        </xdr:to>
        <xdr:sp macro="" textlink="">
          <xdr:nvSpPr>
            <xdr:cNvPr id="20481" name="Image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342900</xdr:colOff>
          <xdr:row>0</xdr:row>
          <xdr:rowOff>28575</xdr:rowOff>
        </xdr:from>
        <xdr:to>
          <xdr:col>13</xdr:col>
          <xdr:colOff>609600</xdr:colOff>
          <xdr:row>1</xdr:row>
          <xdr:rowOff>95250</xdr:rowOff>
        </xdr:to>
        <xdr:sp macro="" textlink="">
          <xdr:nvSpPr>
            <xdr:cNvPr id="20482" name="Image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0</xdr:row>
          <xdr:rowOff>28575</xdr:rowOff>
        </xdr:from>
        <xdr:to>
          <xdr:col>13</xdr:col>
          <xdr:colOff>885825</xdr:colOff>
          <xdr:row>1</xdr:row>
          <xdr:rowOff>95250</xdr:rowOff>
        </xdr:to>
        <xdr:sp macro="" textlink="">
          <xdr:nvSpPr>
            <xdr:cNvPr id="20483" name="Image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1028700</xdr:colOff>
          <xdr:row>0</xdr:row>
          <xdr:rowOff>38100</xdr:rowOff>
        </xdr:from>
        <xdr:to>
          <xdr:col>13</xdr:col>
          <xdr:colOff>314325</xdr:colOff>
          <xdr:row>1</xdr:row>
          <xdr:rowOff>104775</xdr:rowOff>
        </xdr:to>
        <xdr:sp macro="" textlink="">
          <xdr:nvSpPr>
            <xdr:cNvPr id="21505" name="Image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38100</xdr:rowOff>
        </xdr:from>
        <xdr:to>
          <xdr:col>13</xdr:col>
          <xdr:colOff>590550</xdr:colOff>
          <xdr:row>1</xdr:row>
          <xdr:rowOff>104775</xdr:rowOff>
        </xdr:to>
        <xdr:sp macro="" textlink="">
          <xdr:nvSpPr>
            <xdr:cNvPr id="21506" name="Image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0</xdr:row>
          <xdr:rowOff>38100</xdr:rowOff>
        </xdr:from>
        <xdr:to>
          <xdr:col>13</xdr:col>
          <xdr:colOff>866775</xdr:colOff>
          <xdr:row>1</xdr:row>
          <xdr:rowOff>104775</xdr:rowOff>
        </xdr:to>
        <xdr:sp macro="" textlink="">
          <xdr:nvSpPr>
            <xdr:cNvPr id="21507" name="Image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38100</xdr:rowOff>
        </xdr:from>
        <xdr:to>
          <xdr:col>13</xdr:col>
          <xdr:colOff>333375</xdr:colOff>
          <xdr:row>1</xdr:row>
          <xdr:rowOff>104775</xdr:rowOff>
        </xdr:to>
        <xdr:sp macro="" textlink="">
          <xdr:nvSpPr>
            <xdr:cNvPr id="22529" name="Image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342900</xdr:colOff>
          <xdr:row>0</xdr:row>
          <xdr:rowOff>38100</xdr:rowOff>
        </xdr:from>
        <xdr:to>
          <xdr:col>13</xdr:col>
          <xdr:colOff>609600</xdr:colOff>
          <xdr:row>1</xdr:row>
          <xdr:rowOff>104775</xdr:rowOff>
        </xdr:to>
        <xdr:sp macro="" textlink="">
          <xdr:nvSpPr>
            <xdr:cNvPr id="22530" name="Image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0</xdr:row>
          <xdr:rowOff>38100</xdr:rowOff>
        </xdr:from>
        <xdr:to>
          <xdr:col>13</xdr:col>
          <xdr:colOff>885825</xdr:colOff>
          <xdr:row>1</xdr:row>
          <xdr:rowOff>104775</xdr:rowOff>
        </xdr:to>
        <xdr:sp macro="" textlink="">
          <xdr:nvSpPr>
            <xdr:cNvPr id="22531" name="Image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1028700</xdr:colOff>
          <xdr:row>0</xdr:row>
          <xdr:rowOff>38100</xdr:rowOff>
        </xdr:from>
        <xdr:to>
          <xdr:col>13</xdr:col>
          <xdr:colOff>314325</xdr:colOff>
          <xdr:row>1</xdr:row>
          <xdr:rowOff>104775</xdr:rowOff>
        </xdr:to>
        <xdr:sp macro="" textlink="">
          <xdr:nvSpPr>
            <xdr:cNvPr id="23553" name="Image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38100</xdr:rowOff>
        </xdr:from>
        <xdr:to>
          <xdr:col>13</xdr:col>
          <xdr:colOff>590550</xdr:colOff>
          <xdr:row>1</xdr:row>
          <xdr:rowOff>104775</xdr:rowOff>
        </xdr:to>
        <xdr:sp macro="" textlink="">
          <xdr:nvSpPr>
            <xdr:cNvPr id="23554" name="Image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0</xdr:row>
          <xdr:rowOff>38100</xdr:rowOff>
        </xdr:from>
        <xdr:to>
          <xdr:col>13</xdr:col>
          <xdr:colOff>866775</xdr:colOff>
          <xdr:row>1</xdr:row>
          <xdr:rowOff>104775</xdr:rowOff>
        </xdr:to>
        <xdr:sp macro="" textlink="">
          <xdr:nvSpPr>
            <xdr:cNvPr id="23555" name="Image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28575</xdr:rowOff>
        </xdr:from>
        <xdr:to>
          <xdr:col>13</xdr:col>
          <xdr:colOff>333375</xdr:colOff>
          <xdr:row>1</xdr:row>
          <xdr:rowOff>95250</xdr:rowOff>
        </xdr:to>
        <xdr:sp macro="" textlink="">
          <xdr:nvSpPr>
            <xdr:cNvPr id="24577" name="Image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342900</xdr:colOff>
          <xdr:row>0</xdr:row>
          <xdr:rowOff>28575</xdr:rowOff>
        </xdr:from>
        <xdr:to>
          <xdr:col>13</xdr:col>
          <xdr:colOff>609600</xdr:colOff>
          <xdr:row>1</xdr:row>
          <xdr:rowOff>95250</xdr:rowOff>
        </xdr:to>
        <xdr:sp macro="" textlink="">
          <xdr:nvSpPr>
            <xdr:cNvPr id="24578" name="Image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0</xdr:row>
          <xdr:rowOff>28575</xdr:rowOff>
        </xdr:from>
        <xdr:to>
          <xdr:col>13</xdr:col>
          <xdr:colOff>885825</xdr:colOff>
          <xdr:row>1</xdr:row>
          <xdr:rowOff>95250</xdr:rowOff>
        </xdr:to>
        <xdr:sp macro="" textlink="">
          <xdr:nvSpPr>
            <xdr:cNvPr id="24579" name="Image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47625</xdr:rowOff>
        </xdr:from>
        <xdr:to>
          <xdr:col>13</xdr:col>
          <xdr:colOff>333375</xdr:colOff>
          <xdr:row>1</xdr:row>
          <xdr:rowOff>114300</xdr:rowOff>
        </xdr:to>
        <xdr:sp macro="" textlink="">
          <xdr:nvSpPr>
            <xdr:cNvPr id="25601" name="Image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342900</xdr:colOff>
          <xdr:row>0</xdr:row>
          <xdr:rowOff>47625</xdr:rowOff>
        </xdr:from>
        <xdr:to>
          <xdr:col>13</xdr:col>
          <xdr:colOff>609600</xdr:colOff>
          <xdr:row>1</xdr:row>
          <xdr:rowOff>114300</xdr:rowOff>
        </xdr:to>
        <xdr:sp macro="" textlink="">
          <xdr:nvSpPr>
            <xdr:cNvPr id="25602" name="Image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0</xdr:row>
          <xdr:rowOff>47625</xdr:rowOff>
        </xdr:from>
        <xdr:to>
          <xdr:col>13</xdr:col>
          <xdr:colOff>885825</xdr:colOff>
          <xdr:row>1</xdr:row>
          <xdr:rowOff>114300</xdr:rowOff>
        </xdr:to>
        <xdr:sp macro="" textlink="">
          <xdr:nvSpPr>
            <xdr:cNvPr id="25603" name="Image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19050</xdr:rowOff>
        </xdr:from>
        <xdr:to>
          <xdr:col>13</xdr:col>
          <xdr:colOff>333375</xdr:colOff>
          <xdr:row>1</xdr:row>
          <xdr:rowOff>85725</xdr:rowOff>
        </xdr:to>
        <xdr:sp macro="" textlink="">
          <xdr:nvSpPr>
            <xdr:cNvPr id="26625" name="Image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342900</xdr:colOff>
          <xdr:row>0</xdr:row>
          <xdr:rowOff>19050</xdr:rowOff>
        </xdr:from>
        <xdr:to>
          <xdr:col>13</xdr:col>
          <xdr:colOff>609600</xdr:colOff>
          <xdr:row>1</xdr:row>
          <xdr:rowOff>85725</xdr:rowOff>
        </xdr:to>
        <xdr:sp macro="" textlink="">
          <xdr:nvSpPr>
            <xdr:cNvPr id="26626" name="Image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0</xdr:row>
          <xdr:rowOff>19050</xdr:rowOff>
        </xdr:from>
        <xdr:to>
          <xdr:col>13</xdr:col>
          <xdr:colOff>885825</xdr:colOff>
          <xdr:row>1</xdr:row>
          <xdr:rowOff>85725</xdr:rowOff>
        </xdr:to>
        <xdr:sp macro="" textlink="">
          <xdr:nvSpPr>
            <xdr:cNvPr id="26627" name="Image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1019175</xdr:colOff>
          <xdr:row>0</xdr:row>
          <xdr:rowOff>38100</xdr:rowOff>
        </xdr:from>
        <xdr:to>
          <xdr:col>13</xdr:col>
          <xdr:colOff>304800</xdr:colOff>
          <xdr:row>1</xdr:row>
          <xdr:rowOff>104775</xdr:rowOff>
        </xdr:to>
        <xdr:sp macro="" textlink="">
          <xdr:nvSpPr>
            <xdr:cNvPr id="27649" name="Image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0</xdr:row>
          <xdr:rowOff>38100</xdr:rowOff>
        </xdr:from>
        <xdr:to>
          <xdr:col>13</xdr:col>
          <xdr:colOff>581025</xdr:colOff>
          <xdr:row>1</xdr:row>
          <xdr:rowOff>104775</xdr:rowOff>
        </xdr:to>
        <xdr:sp macro="" textlink="">
          <xdr:nvSpPr>
            <xdr:cNvPr id="27650" name="Image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590550</xdr:colOff>
          <xdr:row>0</xdr:row>
          <xdr:rowOff>38100</xdr:rowOff>
        </xdr:from>
        <xdr:to>
          <xdr:col>13</xdr:col>
          <xdr:colOff>857250</xdr:colOff>
          <xdr:row>1</xdr:row>
          <xdr:rowOff>104775</xdr:rowOff>
        </xdr:to>
        <xdr:sp macro="" textlink="">
          <xdr:nvSpPr>
            <xdr:cNvPr id="27651" name="Image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19050</xdr:rowOff>
        </xdr:from>
        <xdr:to>
          <xdr:col>13</xdr:col>
          <xdr:colOff>323850</xdr:colOff>
          <xdr:row>1</xdr:row>
          <xdr:rowOff>85725</xdr:rowOff>
        </xdr:to>
        <xdr:sp macro="" textlink="">
          <xdr:nvSpPr>
            <xdr:cNvPr id="28673" name="Image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333375</xdr:colOff>
          <xdr:row>0</xdr:row>
          <xdr:rowOff>19050</xdr:rowOff>
        </xdr:from>
        <xdr:to>
          <xdr:col>13</xdr:col>
          <xdr:colOff>600075</xdr:colOff>
          <xdr:row>1</xdr:row>
          <xdr:rowOff>85725</xdr:rowOff>
        </xdr:to>
        <xdr:sp macro="" textlink="">
          <xdr:nvSpPr>
            <xdr:cNvPr id="28674" name="Image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609600</xdr:colOff>
          <xdr:row>0</xdr:row>
          <xdr:rowOff>19050</xdr:rowOff>
        </xdr:from>
        <xdr:to>
          <xdr:col>13</xdr:col>
          <xdr:colOff>876300</xdr:colOff>
          <xdr:row>1</xdr:row>
          <xdr:rowOff>85725</xdr:rowOff>
        </xdr:to>
        <xdr:sp macro="" textlink="">
          <xdr:nvSpPr>
            <xdr:cNvPr id="28675" name="Image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38100</xdr:rowOff>
        </xdr:from>
        <xdr:to>
          <xdr:col>13</xdr:col>
          <xdr:colOff>323850</xdr:colOff>
          <xdr:row>1</xdr:row>
          <xdr:rowOff>104776</xdr:rowOff>
        </xdr:to>
        <xdr:sp macro="" textlink="">
          <xdr:nvSpPr>
            <xdr:cNvPr id="29697" name="Saveico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333375</xdr:colOff>
          <xdr:row>0</xdr:row>
          <xdr:rowOff>38100</xdr:rowOff>
        </xdr:from>
        <xdr:to>
          <xdr:col>13</xdr:col>
          <xdr:colOff>600075</xdr:colOff>
          <xdr:row>1</xdr:row>
          <xdr:rowOff>104775</xdr:rowOff>
        </xdr:to>
        <xdr:sp macro="" textlink="">
          <xdr:nvSpPr>
            <xdr:cNvPr id="29698" name="Aktico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609600</xdr:colOff>
          <xdr:row>0</xdr:row>
          <xdr:rowOff>38100</xdr:rowOff>
        </xdr:from>
        <xdr:to>
          <xdr:col>13</xdr:col>
          <xdr:colOff>876300</xdr:colOff>
          <xdr:row>1</xdr:row>
          <xdr:rowOff>104775</xdr:rowOff>
        </xdr:to>
        <xdr:sp macro="" textlink="">
          <xdr:nvSpPr>
            <xdr:cNvPr id="29699" name="Addayico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257175</xdr:colOff>
          <xdr:row>0</xdr:row>
          <xdr:rowOff>38100</xdr:rowOff>
        </xdr:from>
        <xdr:to>
          <xdr:col>23</xdr:col>
          <xdr:colOff>581025</xdr:colOff>
          <xdr:row>1</xdr:row>
          <xdr:rowOff>104775</xdr:rowOff>
        </xdr:to>
        <xdr:sp macro="" textlink="">
          <xdr:nvSpPr>
            <xdr:cNvPr id="30724" name="Image1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590550</xdr:colOff>
          <xdr:row>0</xdr:row>
          <xdr:rowOff>38100</xdr:rowOff>
        </xdr:from>
        <xdr:to>
          <xdr:col>24</xdr:col>
          <xdr:colOff>95250</xdr:colOff>
          <xdr:row>1</xdr:row>
          <xdr:rowOff>104775</xdr:rowOff>
        </xdr:to>
        <xdr:sp macro="" textlink="">
          <xdr:nvSpPr>
            <xdr:cNvPr id="30725" name="Image2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104775</xdr:colOff>
          <xdr:row>0</xdr:row>
          <xdr:rowOff>38100</xdr:rowOff>
        </xdr:from>
        <xdr:to>
          <xdr:col>24</xdr:col>
          <xdr:colOff>371475</xdr:colOff>
          <xdr:row>1</xdr:row>
          <xdr:rowOff>104775</xdr:rowOff>
        </xdr:to>
        <xdr:sp macro="" textlink="">
          <xdr:nvSpPr>
            <xdr:cNvPr id="30726" name="Image3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28575</xdr:rowOff>
        </xdr:from>
        <xdr:to>
          <xdr:col>1</xdr:col>
          <xdr:colOff>1209675</xdr:colOff>
          <xdr:row>5</xdr:row>
          <xdr:rowOff>209550</xdr:rowOff>
        </xdr:to>
        <xdr:sp macro="" textlink="">
          <xdr:nvSpPr>
            <xdr:cNvPr id="16385" name="MakeKalender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28575</xdr:rowOff>
        </xdr:from>
        <xdr:to>
          <xdr:col>1</xdr:col>
          <xdr:colOff>1209675</xdr:colOff>
          <xdr:row>6</xdr:row>
          <xdr:rowOff>209550</xdr:rowOff>
        </xdr:to>
        <xdr:sp macro="" textlink="">
          <xdr:nvSpPr>
            <xdr:cNvPr id="16386" name="Speichernd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5" Type="http://schemas.openxmlformats.org/officeDocument/2006/relationships/control" Target="../activeX/activeX8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.emf"/><Relationship Id="rId5" Type="http://schemas.openxmlformats.org/officeDocument/2006/relationships/control" Target="../activeX/activeX11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5.emf"/><Relationship Id="rId5" Type="http://schemas.openxmlformats.org/officeDocument/2006/relationships/control" Target="../activeX/activeX14.xml"/><Relationship Id="rId4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16.xml"/><Relationship Id="rId7" Type="http://schemas.openxmlformats.org/officeDocument/2006/relationships/control" Target="../activeX/activeX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5.emf"/><Relationship Id="rId5" Type="http://schemas.openxmlformats.org/officeDocument/2006/relationships/control" Target="../activeX/activeX17.xml"/><Relationship Id="rId4" Type="http://schemas.openxmlformats.org/officeDocument/2006/relationships/image" Target="../media/image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5.emf"/><Relationship Id="rId5" Type="http://schemas.openxmlformats.org/officeDocument/2006/relationships/control" Target="../activeX/activeX20.xml"/><Relationship Id="rId4" Type="http://schemas.openxmlformats.org/officeDocument/2006/relationships/image" Target="../media/image4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5.emf"/><Relationship Id="rId5" Type="http://schemas.openxmlformats.org/officeDocument/2006/relationships/control" Target="../activeX/activeX23.xml"/><Relationship Id="rId4" Type="http://schemas.openxmlformats.org/officeDocument/2006/relationships/image" Target="../media/image4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25.xml"/><Relationship Id="rId7" Type="http://schemas.openxmlformats.org/officeDocument/2006/relationships/control" Target="../activeX/activeX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5.emf"/><Relationship Id="rId5" Type="http://schemas.openxmlformats.org/officeDocument/2006/relationships/control" Target="../activeX/activeX26.xml"/><Relationship Id="rId4" Type="http://schemas.openxmlformats.org/officeDocument/2006/relationships/image" Target="../media/image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28.xml"/><Relationship Id="rId7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5.emf"/><Relationship Id="rId5" Type="http://schemas.openxmlformats.org/officeDocument/2006/relationships/control" Target="../activeX/activeX29.xml"/><Relationship Id="rId4" Type="http://schemas.openxmlformats.org/officeDocument/2006/relationships/image" Target="../media/image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31.xml"/><Relationship Id="rId7" Type="http://schemas.openxmlformats.org/officeDocument/2006/relationships/control" Target="../activeX/activeX3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5.emf"/><Relationship Id="rId5" Type="http://schemas.openxmlformats.org/officeDocument/2006/relationships/control" Target="../activeX/activeX32.xml"/><Relationship Id="rId4" Type="http://schemas.openxmlformats.org/officeDocument/2006/relationships/image" Target="../media/image4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34.xml"/><Relationship Id="rId7" Type="http://schemas.openxmlformats.org/officeDocument/2006/relationships/control" Target="../activeX/activeX3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5.emf"/><Relationship Id="rId5" Type="http://schemas.openxmlformats.org/officeDocument/2006/relationships/control" Target="../activeX/activeX35.xml"/><Relationship Id="rId4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37.xml"/><Relationship Id="rId7" Type="http://schemas.openxmlformats.org/officeDocument/2006/relationships/control" Target="../activeX/activeX3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5.emf"/><Relationship Id="rId5" Type="http://schemas.openxmlformats.org/officeDocument/2006/relationships/control" Target="../activeX/activeX38.xml"/><Relationship Id="rId4" Type="http://schemas.openxmlformats.org/officeDocument/2006/relationships/image" Target="../media/image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1.xml"/><Relationship Id="rId5" Type="http://schemas.openxmlformats.org/officeDocument/2006/relationships/image" Target="../media/image4.emf"/><Relationship Id="rId4" Type="http://schemas.openxmlformats.org/officeDocument/2006/relationships/control" Target="../activeX/activeX40.xml"/><Relationship Id="rId9" Type="http://schemas.openxmlformats.org/officeDocument/2006/relationships/image" Target="../media/image6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8.emf"/><Relationship Id="rId5" Type="http://schemas.openxmlformats.org/officeDocument/2006/relationships/control" Target="../activeX/activeX44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EC40"/>
  <sheetViews>
    <sheetView showGridLines="0" showRowColHeaders="0" tabSelected="1" zoomScale="84" zoomScaleNormal="84" workbookViewId="0">
      <selection activeCell="D49" sqref="D49"/>
    </sheetView>
  </sheetViews>
  <sheetFormatPr baseColWidth="10" defaultRowHeight="12.75" x14ac:dyDescent="0.2"/>
  <cols>
    <col min="2" max="2" width="12.42578125" customWidth="1"/>
    <col min="10" max="10" width="9.5703125" customWidth="1"/>
    <col min="11" max="11" width="25.28515625" customWidth="1"/>
    <col min="14" max="14" width="5" customWidth="1"/>
    <col min="17" max="17" width="15.85546875" customWidth="1"/>
  </cols>
  <sheetData>
    <row r="1" spans="1:133" ht="18.75" x14ac:dyDescent="0.3">
      <c r="A1" s="11" t="s">
        <v>50</v>
      </c>
      <c r="B1" s="10"/>
      <c r="C1" s="10"/>
      <c r="D1" s="10"/>
      <c r="E1" s="10"/>
      <c r="F1" s="14" t="s">
        <v>46</v>
      </c>
      <c r="G1" s="10" t="str">
        <f>Einstellungen!B4</f>
        <v>Testnutzer</v>
      </c>
      <c r="H1" s="14"/>
      <c r="I1" s="10"/>
      <c r="J1" s="10"/>
      <c r="K1" s="15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</row>
    <row r="2" spans="1:133" ht="15" x14ac:dyDescent="0.25">
      <c r="A2" s="1"/>
      <c r="B2" s="1"/>
      <c r="C2" s="1"/>
      <c r="D2" s="1"/>
      <c r="E2" s="1"/>
      <c r="F2" s="14" t="s">
        <v>47</v>
      </c>
      <c r="G2" s="10" t="str">
        <f>Einstellungen!B5</f>
        <v>staatssicherheit ost</v>
      </c>
      <c r="H2" s="12"/>
      <c r="I2" s="1"/>
      <c r="J2" s="1"/>
      <c r="K2" s="13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</row>
    <row r="3" spans="1:133" ht="15" x14ac:dyDescent="0.25">
      <c r="A3" s="1"/>
      <c r="B3" s="1"/>
      <c r="C3" s="1"/>
      <c r="D3" s="1"/>
      <c r="E3" s="1"/>
      <c r="F3" s="12"/>
      <c r="G3" s="1"/>
      <c r="H3" s="13"/>
      <c r="I3" s="1"/>
      <c r="J3" s="1"/>
      <c r="K3" s="1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</row>
    <row r="4" spans="1:133" ht="15" x14ac:dyDescent="0.25">
      <c r="A4" s="1"/>
      <c r="B4" s="1"/>
      <c r="C4" s="1"/>
      <c r="D4" s="1"/>
      <c r="E4" s="1"/>
      <c r="F4" s="12"/>
      <c r="G4" s="1"/>
      <c r="H4" s="13"/>
      <c r="I4" s="1"/>
      <c r="J4" s="1"/>
      <c r="K4" s="1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</row>
    <row r="7" spans="1:133" x14ac:dyDescent="0.2">
      <c r="A7" s="33"/>
      <c r="B7" s="32"/>
      <c r="C7" s="32"/>
      <c r="D7" s="32"/>
      <c r="E7" s="32"/>
      <c r="F7" s="32"/>
      <c r="G7" s="33"/>
      <c r="H7" s="33"/>
      <c r="I7" s="33"/>
      <c r="J7" s="33"/>
    </row>
    <row r="8" spans="1:133" x14ac:dyDescent="0.2">
      <c r="A8" s="33"/>
      <c r="B8" s="32"/>
      <c r="C8" s="32"/>
      <c r="D8" s="32"/>
      <c r="E8" s="32"/>
      <c r="F8" s="32"/>
      <c r="G8" s="33"/>
      <c r="H8" s="33"/>
      <c r="I8" s="33"/>
      <c r="J8" s="33"/>
    </row>
    <row r="9" spans="1:133" x14ac:dyDescent="0.2">
      <c r="A9" s="33"/>
      <c r="B9" s="32"/>
      <c r="C9" s="32"/>
      <c r="D9" s="32"/>
      <c r="E9" s="32"/>
      <c r="F9" s="32"/>
      <c r="G9" s="33"/>
      <c r="H9" s="33"/>
      <c r="I9" s="33"/>
      <c r="J9" s="33"/>
    </row>
    <row r="10" spans="1:133" x14ac:dyDescent="0.2">
      <c r="A10" s="33"/>
      <c r="B10" s="32"/>
      <c r="C10" s="32"/>
      <c r="D10" s="32"/>
      <c r="E10" s="32"/>
      <c r="F10" s="32"/>
      <c r="G10" s="33"/>
      <c r="H10" s="33"/>
      <c r="I10" s="33"/>
      <c r="J10" s="33"/>
    </row>
    <row r="11" spans="1:133" ht="20.25" x14ac:dyDescent="0.3">
      <c r="A11" s="33"/>
      <c r="B11" s="32"/>
      <c r="C11" s="35" t="s">
        <v>0</v>
      </c>
      <c r="D11" s="32"/>
      <c r="E11" s="32"/>
      <c r="F11" s="35"/>
      <c r="G11" s="33"/>
      <c r="H11" s="33"/>
      <c r="I11" s="33"/>
      <c r="J11" s="34"/>
      <c r="K11" s="2" t="s">
        <v>1</v>
      </c>
      <c r="N11" s="2"/>
      <c r="Q11" s="21"/>
    </row>
    <row r="12" spans="1:133" x14ac:dyDescent="0.2">
      <c r="A12" s="33"/>
      <c r="B12" s="32"/>
      <c r="C12" s="32"/>
      <c r="D12" s="32"/>
      <c r="E12" s="32"/>
      <c r="F12" s="32"/>
      <c r="G12" s="33"/>
      <c r="H12" s="33"/>
      <c r="I12" s="33"/>
      <c r="J12" s="33"/>
      <c r="R12" s="23"/>
    </row>
    <row r="13" spans="1:133" ht="18" customHeight="1" x14ac:dyDescent="0.2">
      <c r="A13" s="33"/>
      <c r="B13" s="36"/>
      <c r="C13" s="36"/>
      <c r="D13" s="36"/>
      <c r="E13" s="36"/>
      <c r="F13" s="36"/>
      <c r="G13" s="33"/>
      <c r="H13" s="33"/>
      <c r="I13" s="33"/>
      <c r="J13" s="37"/>
      <c r="K13" s="3"/>
      <c r="L13" s="3"/>
      <c r="M13" s="3"/>
      <c r="N13" s="3"/>
      <c r="R13" s="23"/>
    </row>
    <row r="14" spans="1:133" x14ac:dyDescent="0.2">
      <c r="A14" s="33"/>
      <c r="B14" s="36"/>
      <c r="C14" s="36"/>
      <c r="D14" s="36"/>
      <c r="E14" s="36"/>
      <c r="F14" s="36"/>
      <c r="G14" s="33"/>
      <c r="H14" s="33"/>
      <c r="I14" s="33"/>
      <c r="J14" s="37"/>
      <c r="K14" s="3" t="s">
        <v>29</v>
      </c>
      <c r="L14" s="7">
        <f>Einstellungen!B1</f>
        <v>0.33333333333333331</v>
      </c>
      <c r="M14" s="3"/>
      <c r="N14" s="3"/>
      <c r="R14" s="23"/>
    </row>
    <row r="15" spans="1:133" x14ac:dyDescent="0.2">
      <c r="A15" s="33"/>
      <c r="B15" s="36"/>
      <c r="C15" s="36"/>
      <c r="D15" s="36"/>
      <c r="E15" s="36"/>
      <c r="F15" s="36"/>
      <c r="G15" s="33"/>
      <c r="H15" s="33"/>
      <c r="I15" s="33"/>
      <c r="J15" s="37"/>
      <c r="K15" s="3" t="s">
        <v>30</v>
      </c>
      <c r="L15" s="8">
        <f>0</f>
        <v>0</v>
      </c>
      <c r="M15" s="3"/>
      <c r="N15" s="3"/>
      <c r="R15" s="23"/>
    </row>
    <row r="16" spans="1:133" x14ac:dyDescent="0.2">
      <c r="B16" s="3"/>
      <c r="C16" s="3"/>
      <c r="D16" s="3"/>
      <c r="E16" s="3"/>
      <c r="F16" s="3"/>
      <c r="J16" s="3"/>
      <c r="K16" s="3" t="s">
        <v>31</v>
      </c>
      <c r="L16" s="8">
        <f>(SUM(Januar!F7:'Januar'!F50) - (Januar!H3 * Einstellungen!B1) + SUM(Februar!F7:'Februar'!F50) - (Februar!H3 * Einstellungen!B1) + SUM(März!F7:'März'!F50) - (März!H3 * Einstellungen!B1) + SUM(April!F7:'April'!F50) - (April!H3 * Einstellungen!B1) + SUM(Mai!F7:'Mai'!F50) - (Mai!H3 * Einstellungen!B1) + SUM(Juni!F7:'Juni'!F50) - (Juni!H3 * Einstellungen!B1) + SUM(Juli!F7:'Juli'!F50) - (Juli!H3 * Einstellungen!B1) + SUM(August!F7:'August'!F50) - (August!H3 * Einstellungen!B1) + SUM(September!F7:'September'!F50) - (September!H3 * Einstellungen!B1) + SUM(Oktober!F7:'Oktober'!F50) - (Oktober!H3 * Einstellungen!B1) + SUM(November!F7:'November'!F50) - (November!H3 * Einstellungen!B1) + SUM(Dezember!F7:'Dezember'!F50) - (Dezember!H3 * Einstellungen!B1) +  0)</f>
        <v>0</v>
      </c>
      <c r="M16" s="3"/>
      <c r="N16" s="3"/>
      <c r="R16" s="23"/>
    </row>
    <row r="17" spans="2:18" x14ac:dyDescent="0.2">
      <c r="B17" s="3"/>
      <c r="C17" s="3"/>
      <c r="D17" s="3"/>
      <c r="E17" s="3"/>
      <c r="F17" s="3"/>
      <c r="J17" s="3"/>
      <c r="K17" s="3" t="s">
        <v>32</v>
      </c>
      <c r="L17" s="8">
        <f>(SUM(Januar!D7:'Januar'!D50) + SUM(Februar!D7:'Februar'!D50) + SUM(März!D7:'März'!D50) + SUM(April!D7:'April'!D50) + SUM(Mai!D7:'Mai'!D50) + SUM(Juni!D7:'Juni'!D50) + SUM(Juli!D7:'Juli'!D50) + SUM(August!D7:'August'!D50) + SUM(September!D7:'September'!D50) + SUM(Oktober!D7:'Oktober'!D50) + SUM(November!D7:'November'!D50) + SUM(Dezember!D7:'Dezember'!D50) +  0)</f>
        <v>0</v>
      </c>
      <c r="M17" s="3"/>
      <c r="N17" s="3"/>
      <c r="R17" s="23"/>
    </row>
    <row r="18" spans="2:18" x14ac:dyDescent="0.2">
      <c r="B18" s="3"/>
      <c r="C18" s="3"/>
      <c r="D18" s="3"/>
      <c r="E18" s="3"/>
      <c r="F18" s="3"/>
      <c r="J18" s="3"/>
      <c r="K18" s="3" t="s">
        <v>33</v>
      </c>
      <c r="L18" s="8">
        <f>(SUM(Januar!D7:'Januar'!D50) + SUM(Februar!D7:'Februar'!D50) + SUM(März!D7:'März'!D50) + SUM(April!D7:'April'!D50) + SUM(Mai!D7:'Mai'!D50) + SUM(Juni!D7:'Juni'!D50) + SUM(Juli!D7:'Juli'!D50) + SUM(August!D7:'August'!D50) + SUM(September!D7:'September'!D50) + SUM(Oktober!D7:'Oktober'!D50) + SUM(November!D7:'November'!D50) + SUM(Dezember!D7:'Dezember'!D50) +  0)</f>
        <v>0</v>
      </c>
      <c r="M18" s="3"/>
      <c r="N18" s="3"/>
      <c r="R18" s="23"/>
    </row>
    <row r="19" spans="2:18" x14ac:dyDescent="0.2">
      <c r="B19" s="3"/>
      <c r="C19" s="3"/>
      <c r="D19" s="3"/>
      <c r="E19" s="3"/>
      <c r="F19" s="3"/>
      <c r="J19" s="3"/>
      <c r="K19" s="3" t="s">
        <v>34</v>
      </c>
      <c r="L19" s="8">
        <f>(IF(COUNT(Januar!E7:'Januar'!E50)&gt;0,AVERAGE(Januar!E7:'Januar'!E50),0) + IF(COUNT(Februar!E7:'Februar'!E50)&gt;0,AVERAGE(Februar!E7:'Februar'!E50),0) + IF(COUNT(März!E7:'März'!E50)&gt;0,AVERAGE(März!E7:'März'!E50),0) + IF(COUNT(April!E7:'April'!E50)&gt;0,AVERAGE(April!E7:'April'!E50),0) + IF(COUNT(Mai!E7:'Mai'!E50)&gt;0,AVERAGE(Mai!E7:'Mai'!E50),0) + IF(COUNT(Juni!E7:'Juni'!E50)&gt;0,AVERAGE(Juni!E7:'Juni'!E50),0) + IF(COUNT(Juli!E7:'Juli'!E50)&gt;0,AVERAGE(Juli!E7:'Juli'!E50),0) + IF(COUNT(August!E7:'August'!E50)&gt;0,AVERAGE(August!E7:'August'!E50),0) + IF(COUNT(September!E7:'September'!E50)&gt;0,AVERAGE(September!E7:'September'!E50),0) + IF(COUNT(Oktober!E7:'Oktober'!E50)&gt;0,AVERAGE(Oktober!E7:'Oktober'!E50),0) + IF(COUNT(November!E7:'November'!E50)&gt;0,AVERAGE(November!E7:'November'!E50),0) + IF(COUNT(Dezember!E7:'Dezember'!E50)&gt;0,AVERAGE(Dezember!E7:'Dezember'!E50),0) +  0) / 12</f>
        <v>0</v>
      </c>
      <c r="M19" s="3"/>
      <c r="N19" s="3"/>
      <c r="R19" s="23"/>
    </row>
    <row r="20" spans="2:18" x14ac:dyDescent="0.2">
      <c r="B20" s="3"/>
      <c r="C20" s="3"/>
      <c r="D20" s="3"/>
      <c r="E20" s="3"/>
      <c r="F20" s="3"/>
      <c r="J20" s="3"/>
      <c r="K20" s="3" t="s">
        <v>41</v>
      </c>
      <c r="L20" s="9">
        <v>0</v>
      </c>
      <c r="M20" s="3"/>
      <c r="N20" s="3"/>
      <c r="R20" s="23"/>
    </row>
    <row r="21" spans="2:18" x14ac:dyDescent="0.2">
      <c r="B21" s="3"/>
      <c r="C21" s="3"/>
      <c r="D21" s="3"/>
      <c r="E21" s="3"/>
      <c r="F21" s="3"/>
      <c r="J21" s="3"/>
      <c r="K21" s="3" t="s">
        <v>42</v>
      </c>
      <c r="L21" s="9">
        <v>35</v>
      </c>
      <c r="M21" s="3"/>
      <c r="N21" s="3"/>
      <c r="R21" s="23"/>
    </row>
    <row r="22" spans="2:18" x14ac:dyDescent="0.2">
      <c r="B22" s="3"/>
      <c r="C22" s="3"/>
      <c r="D22" s="3"/>
      <c r="E22" s="3"/>
      <c r="F22" s="3"/>
      <c r="J22" s="3"/>
      <c r="K22" s="3" t="s">
        <v>35</v>
      </c>
      <c r="L22" s="9">
        <v>0</v>
      </c>
      <c r="M22" s="3"/>
      <c r="N22" s="3"/>
      <c r="R22" s="23"/>
    </row>
    <row r="23" spans="2:18" x14ac:dyDescent="0.2">
      <c r="B23" s="3"/>
      <c r="C23" s="3"/>
      <c r="D23" s="3"/>
      <c r="E23" s="3"/>
      <c r="F23" s="3"/>
      <c r="J23" s="3"/>
      <c r="K23" s="3" t="s">
        <v>36</v>
      </c>
      <c r="L23" s="9">
        <v>0</v>
      </c>
      <c r="M23" s="3"/>
      <c r="N23" s="3"/>
      <c r="R23" s="23"/>
    </row>
    <row r="24" spans="2:18" x14ac:dyDescent="0.2">
      <c r="B24" s="3"/>
      <c r="C24" s="3"/>
      <c r="D24" s="3"/>
      <c r="E24" s="3"/>
      <c r="F24" s="3"/>
      <c r="J24" s="3"/>
      <c r="K24" s="3" t="s">
        <v>37</v>
      </c>
      <c r="L24" s="9">
        <v>0</v>
      </c>
      <c r="M24" s="3"/>
      <c r="N24" s="3"/>
      <c r="R24" s="23"/>
    </row>
    <row r="25" spans="2:18" x14ac:dyDescent="0.2">
      <c r="B25" s="3"/>
      <c r="C25" s="3"/>
      <c r="D25" s="3"/>
      <c r="E25" s="3"/>
      <c r="F25" s="3"/>
      <c r="J25" s="3"/>
      <c r="K25" s="3" t="s">
        <v>44</v>
      </c>
      <c r="L25" s="9">
        <v>0</v>
      </c>
      <c r="M25" s="3"/>
      <c r="N25" s="3"/>
    </row>
    <row r="26" spans="2:18" x14ac:dyDescent="0.2">
      <c r="B26" s="3"/>
      <c r="C26" s="3"/>
      <c r="D26" s="3"/>
      <c r="E26" s="3"/>
      <c r="F26" s="3"/>
      <c r="J26" s="3"/>
      <c r="K26" s="3" t="s">
        <v>45</v>
      </c>
      <c r="L26" s="9">
        <f>IF(ROUNDDOWN(L16/Einstellungen!B1,0)-L25&gt;0,ROUNDDOWN(L16/Einstellungen!B1,0)-L25,0)</f>
        <v>0</v>
      </c>
      <c r="M26" s="3"/>
      <c r="N26" s="3"/>
    </row>
    <row r="27" spans="2:18" x14ac:dyDescent="0.2">
      <c r="B27" s="3"/>
      <c r="C27" s="3"/>
      <c r="D27" s="3"/>
      <c r="E27" s="3"/>
      <c r="F27" s="3"/>
      <c r="J27" s="3"/>
      <c r="K27" s="3" t="s">
        <v>55</v>
      </c>
      <c r="L27" s="8">
        <f>(SUM(Januar!E7:'Januar'!E50) + SUM(Februar!E7:'Februar'!E50) + SUM(März!E7:'März'!E50) + SUM(April!E7:'April'!E50) + SUM(Mai!E7:'Mai'!E50) + SUM(Juni!E7:'Juni'!E50) + SUM(Juli!E7:'Juli'!E50) + SUM(August!E7:'August'!E50) + SUM(September!E7:'September'!E50) + SUM(Oktober!E7:'Oktober'!E50) + SUM(November!E7:'November'!E50) + SUM(Dezember!E7:'Dezember'!E50) +  0)</f>
        <v>0</v>
      </c>
      <c r="M27" s="3"/>
      <c r="N27" s="3"/>
    </row>
    <row r="28" spans="2:18" x14ac:dyDescent="0.2">
      <c r="B28" s="3"/>
      <c r="C28" s="3"/>
      <c r="D28" s="3"/>
      <c r="E28" s="3"/>
      <c r="F28" s="3"/>
      <c r="J28" s="3"/>
      <c r="K28" s="3"/>
      <c r="L28" s="3"/>
      <c r="M28" s="3"/>
      <c r="N28" s="3"/>
    </row>
    <row r="29" spans="2:18" x14ac:dyDescent="0.2">
      <c r="B29" s="3"/>
      <c r="C29" s="3"/>
      <c r="D29" s="3"/>
      <c r="E29" s="3"/>
      <c r="F29" s="3"/>
      <c r="J29" s="3"/>
      <c r="K29" s="3"/>
      <c r="L29" s="3"/>
      <c r="M29" s="3"/>
      <c r="N29" s="3"/>
    </row>
    <row r="30" spans="2:18" x14ac:dyDescent="0.2">
      <c r="B30" s="3"/>
      <c r="C30" s="3"/>
      <c r="D30" s="3"/>
      <c r="E30" s="3"/>
      <c r="F30" s="3"/>
      <c r="J30" s="3"/>
      <c r="K30" s="3"/>
      <c r="L30" s="3"/>
      <c r="M30" s="3"/>
      <c r="N30" s="3"/>
    </row>
    <row r="31" spans="2:18" x14ac:dyDescent="0.2">
      <c r="B31" s="3"/>
      <c r="C31" s="3"/>
      <c r="D31" s="3"/>
      <c r="E31" s="3"/>
      <c r="F31" s="3"/>
      <c r="J31" s="3"/>
      <c r="K31" s="3"/>
      <c r="L31" s="3"/>
      <c r="M31" s="3"/>
      <c r="N31" s="3"/>
    </row>
    <row r="33" spans="9:11" x14ac:dyDescent="0.2">
      <c r="I33" t="s">
        <v>43</v>
      </c>
    </row>
    <row r="40" spans="9:11" x14ac:dyDescent="0.2">
      <c r="K40" s="4"/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Image3">
          <controlPr defaultSize="0" autoLine="0" r:id="rId5">
            <anchor moveWithCells="1">
              <from>
                <xdr:col>17</xdr:col>
                <xdr:colOff>742950</xdr:colOff>
                <xdr:row>0</xdr:row>
                <xdr:rowOff>76200</xdr:rowOff>
              </from>
              <to>
                <xdr:col>18</xdr:col>
                <xdr:colOff>247650</xdr:colOff>
                <xdr:row>1</xdr:row>
                <xdr:rowOff>85725</xdr:rowOff>
              </to>
            </anchor>
          </controlPr>
        </control>
      </mc:Choice>
      <mc:Fallback>
        <control shapeId="1032" r:id="rId4" name="Image3"/>
      </mc:Fallback>
    </mc:AlternateContent>
    <mc:AlternateContent xmlns:mc="http://schemas.openxmlformats.org/markup-compatibility/2006">
      <mc:Choice Requires="x14">
        <control shapeId="1031" r:id="rId6" name="Image2">
          <controlPr defaultSize="0" autoLine="0" r:id="rId7">
            <anchor moveWithCells="1">
              <from>
                <xdr:col>17</xdr:col>
                <xdr:colOff>466725</xdr:colOff>
                <xdr:row>0</xdr:row>
                <xdr:rowOff>76200</xdr:rowOff>
              </from>
              <to>
                <xdr:col>17</xdr:col>
                <xdr:colOff>733425</xdr:colOff>
                <xdr:row>1</xdr:row>
                <xdr:rowOff>85725</xdr:rowOff>
              </to>
            </anchor>
          </controlPr>
        </control>
      </mc:Choice>
      <mc:Fallback>
        <control shapeId="1031" r:id="rId6" name="Image2"/>
      </mc:Fallback>
    </mc:AlternateContent>
    <mc:AlternateContent xmlns:mc="http://schemas.openxmlformats.org/markup-compatibility/2006">
      <mc:Choice Requires="x14">
        <control shapeId="1030" r:id="rId8" name="Image1">
          <controlPr defaultSize="0" autoLine="0" r:id="rId9">
            <anchor moveWithCells="1">
              <from>
                <xdr:col>17</xdr:col>
                <xdr:colOff>133350</xdr:colOff>
                <xdr:row>0</xdr:row>
                <xdr:rowOff>76200</xdr:rowOff>
              </from>
              <to>
                <xdr:col>17</xdr:col>
                <xdr:colOff>457200</xdr:colOff>
                <xdr:row>1</xdr:row>
                <xdr:rowOff>85725</xdr:rowOff>
              </to>
            </anchor>
          </controlPr>
        </control>
      </mc:Choice>
      <mc:Fallback>
        <control shapeId="1030" r:id="rId8" name="Image1"/>
      </mc:Fallback>
    </mc:AlternateContent>
    <mc:AlternateContent xmlns:mc="http://schemas.openxmlformats.org/markup-compatibility/2006">
      <mc:Choice Requires="x14">
        <control shapeId="1025" r:id="rId10" name="Button 1">
          <controlPr defaultSize="0" print="0" autoFill="0" autoPict="0" macro="[0]!Showfenster">
            <anchor moveWithCells="1">
              <from>
                <xdr:col>1</xdr:col>
                <xdr:colOff>742950</xdr:colOff>
                <xdr:row>13</xdr:row>
                <xdr:rowOff>47625</xdr:rowOff>
              </from>
              <to>
                <xdr:col>4</xdr:col>
                <xdr:colOff>590550</xdr:colOff>
                <xdr:row>15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1" name="Button 2">
          <controlPr defaultSize="0" print="0" autoFill="0" autoPict="0" macro="[0]!Jumpto">
            <anchor moveWithCells="1">
              <from>
                <xdr:col>1</xdr:col>
                <xdr:colOff>752475</xdr:colOff>
                <xdr:row>16</xdr:row>
                <xdr:rowOff>123825</xdr:rowOff>
              </from>
              <to>
                <xdr:col>4</xdr:col>
                <xdr:colOff>600075</xdr:colOff>
                <xdr:row>19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2" name="Button 3">
          <controlPr defaultSize="0" print="0" autoFill="0" autoPict="0" macro="[0]!Aktionen.Aktualisieren">
            <anchor moveWithCells="1">
              <from>
                <xdr:col>1</xdr:col>
                <xdr:colOff>762000</xdr:colOff>
                <xdr:row>20</xdr:row>
                <xdr:rowOff>57150</xdr:rowOff>
              </from>
              <to>
                <xdr:col>4</xdr:col>
                <xdr:colOff>609600</xdr:colOff>
                <xdr:row>22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all_aktion_Window">
            <anchor moveWithCells="1">
              <from>
                <xdr:col>1</xdr:col>
                <xdr:colOff>762000</xdr:colOff>
                <xdr:row>23</xdr:row>
                <xdr:rowOff>133350</xdr:rowOff>
              </from>
              <to>
                <xdr:col>4</xdr:col>
                <xdr:colOff>609600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Save_Fenster">
            <anchor moveWithCells="1">
              <from>
                <xdr:col>1</xdr:col>
                <xdr:colOff>752475</xdr:colOff>
                <xdr:row>27</xdr:row>
                <xdr:rowOff>57150</xdr:rowOff>
              </from>
              <to>
                <xdr:col>4</xdr:col>
                <xdr:colOff>600075</xdr:colOff>
                <xdr:row>29</xdr:row>
                <xdr:rowOff>123825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BT6"/>
  <sheetViews>
    <sheetView showGridLines="0" workbookViewId="0">
      <selection activeCell="C14" sqref="C14"/>
    </sheetView>
  </sheetViews>
  <sheetFormatPr baseColWidth="10" defaultRowHeight="12.75" x14ac:dyDescent="0.2"/>
  <cols>
    <col min="5" max="6" width="12.42578125" customWidth="1"/>
    <col min="7" max="7" width="68.7109375" customWidth="1"/>
    <col min="8" max="8" width="34.42578125" customWidth="1"/>
    <col min="9" max="41" width="15.5703125" customWidth="1"/>
  </cols>
  <sheetData>
    <row r="1" spans="1:72" ht="15" x14ac:dyDescent="0.25">
      <c r="A1" s="1" t="s">
        <v>11</v>
      </c>
      <c r="B1" s="1"/>
      <c r="C1" s="1"/>
      <c r="D1" s="1" t="s">
        <v>24</v>
      </c>
      <c r="E1" s="1"/>
      <c r="F1" s="12">
        <f>Einstellungen!B1</f>
        <v>0.33333333333333331</v>
      </c>
      <c r="G1" s="1" t="s">
        <v>27</v>
      </c>
      <c r="H1" s="12">
        <v>0</v>
      </c>
      <c r="I1" s="1"/>
      <c r="J1" s="1" t="s">
        <v>54</v>
      </c>
      <c r="K1" s="25">
        <v>0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</row>
    <row r="2" spans="1:72" ht="15" x14ac:dyDescent="0.25">
      <c r="A2" s="1"/>
      <c r="B2" s="1"/>
      <c r="C2" s="1"/>
      <c r="D2" s="1" t="s">
        <v>25</v>
      </c>
      <c r="E2" s="1"/>
      <c r="F2" s="12">
        <f>0</f>
        <v>0</v>
      </c>
      <c r="G2" s="1" t="s">
        <v>28</v>
      </c>
      <c r="H2" s="12">
        <f>IF(COUNT(E7:E50)&gt;0,AVERAGE(E7:E50),0)</f>
        <v>0</v>
      </c>
      <c r="I2" s="1"/>
      <c r="J2" s="1" t="s">
        <v>51</v>
      </c>
      <c r="K2" s="25">
        <v>0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</row>
    <row r="3" spans="1:72" ht="15" x14ac:dyDescent="0.25">
      <c r="A3" s="1"/>
      <c r="B3" s="1"/>
      <c r="C3" s="1"/>
      <c r="D3" s="1" t="s">
        <v>26</v>
      </c>
      <c r="E3" s="1"/>
      <c r="F3" s="12">
        <f>SUM(F7:F50) - (H3 * Einstellungen!B1)</f>
        <v>0</v>
      </c>
      <c r="G3" s="1" t="s">
        <v>52</v>
      </c>
      <c r="H3" s="13">
        <v>0</v>
      </c>
      <c r="I3" s="1"/>
      <c r="J3" s="1" t="s">
        <v>57</v>
      </c>
      <c r="K3" s="12">
        <f>SUM(D7:D50)</f>
        <v>0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</row>
    <row r="4" spans="1:72" ht="15" x14ac:dyDescent="0.25">
      <c r="A4" s="1"/>
      <c r="B4" s="1"/>
      <c r="C4" s="1"/>
      <c r="D4" s="1" t="s">
        <v>56</v>
      </c>
      <c r="E4" s="1"/>
      <c r="F4" s="12">
        <f>SUM(E7:E50)</f>
        <v>0</v>
      </c>
      <c r="G4" s="1" t="s">
        <v>53</v>
      </c>
      <c r="H4" s="13">
        <f>IF(ROUNDDOWN(F3/Einstellungen!B1,0)-H3&gt;0,ROUNDDOWN(F3/Einstellungen!B1,0)-H3,0)</f>
        <v>0</v>
      </c>
      <c r="I4" s="1"/>
      <c r="J4" s="1"/>
      <c r="K4" s="1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</row>
    <row r="5" spans="1:72" x14ac:dyDescent="0.2">
      <c r="A5" s="6"/>
      <c r="B5" s="6"/>
      <c r="C5" s="6"/>
      <c r="D5" s="6"/>
      <c r="E5" s="6"/>
      <c r="F5" s="6"/>
      <c r="G5" s="6"/>
      <c r="H5" s="6"/>
      <c r="I5" s="6"/>
      <c r="J5" s="6"/>
    </row>
    <row r="6" spans="1:72" ht="14.25" x14ac:dyDescent="0.2">
      <c r="A6" s="5" t="s">
        <v>2</v>
      </c>
      <c r="B6" s="5" t="s">
        <v>3</v>
      </c>
      <c r="C6" s="5" t="s">
        <v>4</v>
      </c>
      <c r="D6" s="5" t="s">
        <v>12</v>
      </c>
      <c r="E6" s="5" t="s">
        <v>5</v>
      </c>
      <c r="F6" s="5" t="s">
        <v>9</v>
      </c>
      <c r="G6" s="5" t="s">
        <v>6</v>
      </c>
      <c r="H6" s="5" t="s">
        <v>7</v>
      </c>
      <c r="I6" s="5" t="s">
        <v>8</v>
      </c>
      <c r="J6" s="5" t="s">
        <v>10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1" r:id="rId4" name="Image3">
          <controlPr defaultSize="0" autoLine="0" r:id="rId5">
            <anchor moveWithCells="1">
              <from>
                <xdr:col>13</xdr:col>
                <xdr:colOff>600075</xdr:colOff>
                <xdr:row>0</xdr:row>
                <xdr:rowOff>38100</xdr:rowOff>
              </from>
              <to>
                <xdr:col>13</xdr:col>
                <xdr:colOff>866775</xdr:colOff>
                <xdr:row>1</xdr:row>
                <xdr:rowOff>104775</xdr:rowOff>
              </to>
            </anchor>
          </controlPr>
        </control>
      </mc:Choice>
      <mc:Fallback>
        <control shapeId="17411" r:id="rId4" name="Image3"/>
      </mc:Fallback>
    </mc:AlternateContent>
    <mc:AlternateContent xmlns:mc="http://schemas.openxmlformats.org/markup-compatibility/2006">
      <mc:Choice Requires="x14">
        <control shapeId="17410" r:id="rId6" name="Image2">
          <controlPr defaultSize="0" autoLine="0" r:id="rId7">
            <anchor moveWithCells="1">
              <from>
                <xdr:col>13</xdr:col>
                <xdr:colOff>323850</xdr:colOff>
                <xdr:row>0</xdr:row>
                <xdr:rowOff>38100</xdr:rowOff>
              </from>
              <to>
                <xdr:col>13</xdr:col>
                <xdr:colOff>590550</xdr:colOff>
                <xdr:row>1</xdr:row>
                <xdr:rowOff>104775</xdr:rowOff>
              </to>
            </anchor>
          </controlPr>
        </control>
      </mc:Choice>
      <mc:Fallback>
        <control shapeId="17410" r:id="rId6" name="Image2"/>
      </mc:Fallback>
    </mc:AlternateContent>
    <mc:AlternateContent xmlns:mc="http://schemas.openxmlformats.org/markup-compatibility/2006">
      <mc:Choice Requires="x14">
        <control shapeId="17409" r:id="rId8" name="Image1">
          <controlPr defaultSize="0" autoLine="0" r:id="rId9">
            <anchor moveWithCells="1">
              <from>
                <xdr:col>12</xdr:col>
                <xdr:colOff>1028700</xdr:colOff>
                <xdr:row>0</xdr:row>
                <xdr:rowOff>38100</xdr:rowOff>
              </from>
              <to>
                <xdr:col>13</xdr:col>
                <xdr:colOff>314325</xdr:colOff>
                <xdr:row>1</xdr:row>
                <xdr:rowOff>104775</xdr:rowOff>
              </to>
            </anchor>
          </controlPr>
        </control>
      </mc:Choice>
      <mc:Fallback>
        <control shapeId="17409" r:id="rId8" name="Imag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"/>
  <sheetViews>
    <sheetView workbookViewId="0"/>
  </sheetViews>
  <sheetFormatPr baseColWidth="10" defaultRowHeight="12.75" x14ac:dyDescent="0.2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6"/>
  <dimension ref="A1:BT6"/>
  <sheetViews>
    <sheetView showGridLines="0" workbookViewId="0">
      <selection activeCell="C14" sqref="C14"/>
    </sheetView>
  </sheetViews>
  <sheetFormatPr baseColWidth="10" defaultRowHeight="12.75" x14ac:dyDescent="0.2"/>
  <cols>
    <col min="7" max="7" width="68.7109375" customWidth="1"/>
    <col min="8" max="8" width="34.42578125" customWidth="1"/>
    <col min="9" max="34" width="15.5703125" customWidth="1"/>
  </cols>
  <sheetData>
    <row r="1" spans="1:72" ht="15" x14ac:dyDescent="0.25">
      <c r="A1" s="1" t="s">
        <v>13</v>
      </c>
      <c r="B1" s="1"/>
      <c r="C1" s="1"/>
      <c r="D1" s="1" t="s">
        <v>24</v>
      </c>
      <c r="E1" s="1"/>
      <c r="F1" s="12">
        <f>Einstellungen!B1</f>
        <v>0.33333333333333331</v>
      </c>
      <c r="G1" s="1" t="s">
        <v>27</v>
      </c>
      <c r="H1" s="12">
        <v>0</v>
      </c>
      <c r="I1" s="1"/>
      <c r="J1" s="1" t="s">
        <v>54</v>
      </c>
      <c r="K1" s="25">
        <v>0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</row>
    <row r="2" spans="1:72" ht="15" x14ac:dyDescent="0.25">
      <c r="A2" s="1"/>
      <c r="B2" s="1"/>
      <c r="C2" s="1"/>
      <c r="D2" s="1" t="s">
        <v>25</v>
      </c>
      <c r="E2" s="1"/>
      <c r="F2" s="12">
        <f>0</f>
        <v>0</v>
      </c>
      <c r="G2" s="1" t="s">
        <v>28</v>
      </c>
      <c r="H2" s="12">
        <f>IF(COUNT(E7:E50)&gt;0,AVERAGE(E7:E50),0)</f>
        <v>0</v>
      </c>
      <c r="I2" s="1"/>
      <c r="J2" s="1" t="s">
        <v>51</v>
      </c>
      <c r="K2" s="25">
        <v>0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</row>
    <row r="3" spans="1:72" ht="15" x14ac:dyDescent="0.25">
      <c r="A3" s="1"/>
      <c r="B3" s="1"/>
      <c r="C3" s="1"/>
      <c r="D3" s="1" t="s">
        <v>26</v>
      </c>
      <c r="E3" s="1"/>
      <c r="F3" s="12">
        <f>SUM(F7:F50) - (H3 * Einstellungen!B1)</f>
        <v>0</v>
      </c>
      <c r="G3" s="1" t="s">
        <v>52</v>
      </c>
      <c r="H3" s="13">
        <v>0</v>
      </c>
      <c r="I3" s="1"/>
      <c r="J3" s="1" t="s">
        <v>57</v>
      </c>
      <c r="K3" s="12">
        <f>SUM(D7:D50)</f>
        <v>0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</row>
    <row r="4" spans="1:72" ht="15" x14ac:dyDescent="0.25">
      <c r="A4" s="1"/>
      <c r="B4" s="1"/>
      <c r="C4" s="1"/>
      <c r="D4" s="1" t="s">
        <v>56</v>
      </c>
      <c r="E4" s="1"/>
      <c r="F4" s="12">
        <f>SUM(E7:E50)</f>
        <v>0</v>
      </c>
      <c r="G4" s="1" t="s">
        <v>53</v>
      </c>
      <c r="H4" s="13">
        <f>IF(ROUNDDOWN(F3/Einstellungen!B1,0)-H3&gt;0,ROUNDDOWN(F3/Einstellungen!B1,0)-H3,0)</f>
        <v>0</v>
      </c>
      <c r="I4" s="1"/>
      <c r="J4" s="1"/>
      <c r="K4" s="1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</row>
    <row r="5" spans="1:72" x14ac:dyDescent="0.2">
      <c r="A5" s="6"/>
      <c r="B5" s="6"/>
      <c r="C5" s="6"/>
      <c r="D5" s="6"/>
      <c r="E5" s="6"/>
      <c r="F5" s="6"/>
      <c r="G5" s="6"/>
      <c r="H5" s="6"/>
      <c r="I5" s="6"/>
      <c r="J5" s="6"/>
    </row>
    <row r="6" spans="1:72" ht="14.25" x14ac:dyDescent="0.2">
      <c r="A6" s="5" t="s">
        <v>2</v>
      </c>
      <c r="B6" s="5" t="s">
        <v>3</v>
      </c>
      <c r="C6" s="5" t="s">
        <v>4</v>
      </c>
      <c r="D6" s="5" t="s">
        <v>12</v>
      </c>
      <c r="E6" s="5" t="s">
        <v>5</v>
      </c>
      <c r="F6" s="5" t="s">
        <v>9</v>
      </c>
      <c r="G6" s="5" t="s">
        <v>6</v>
      </c>
      <c r="H6" s="5" t="s">
        <v>7</v>
      </c>
      <c r="I6" s="5" t="s">
        <v>8</v>
      </c>
      <c r="J6" s="5" t="s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9459" r:id="rId3" name="Image3">
          <controlPr defaultSize="0" autoLine="0" r:id="rId4">
            <anchor moveWithCells="1">
              <from>
                <xdr:col>13</xdr:col>
                <xdr:colOff>609600</xdr:colOff>
                <xdr:row>0</xdr:row>
                <xdr:rowOff>28575</xdr:rowOff>
              </from>
              <to>
                <xdr:col>13</xdr:col>
                <xdr:colOff>876300</xdr:colOff>
                <xdr:row>1</xdr:row>
                <xdr:rowOff>95250</xdr:rowOff>
              </to>
            </anchor>
          </controlPr>
        </control>
      </mc:Choice>
      <mc:Fallback>
        <control shapeId="19459" r:id="rId3" name="Image3"/>
      </mc:Fallback>
    </mc:AlternateContent>
    <mc:AlternateContent xmlns:mc="http://schemas.openxmlformats.org/markup-compatibility/2006">
      <mc:Choice Requires="x14">
        <control shapeId="19458" r:id="rId5" name="Image2">
          <controlPr defaultSize="0" autoLine="0" r:id="rId6">
            <anchor moveWithCells="1">
              <from>
                <xdr:col>13</xdr:col>
                <xdr:colOff>333375</xdr:colOff>
                <xdr:row>0</xdr:row>
                <xdr:rowOff>28575</xdr:rowOff>
              </from>
              <to>
                <xdr:col>13</xdr:col>
                <xdr:colOff>600075</xdr:colOff>
                <xdr:row>1</xdr:row>
                <xdr:rowOff>95250</xdr:rowOff>
              </to>
            </anchor>
          </controlPr>
        </control>
      </mc:Choice>
      <mc:Fallback>
        <control shapeId="19458" r:id="rId5" name="Image2"/>
      </mc:Fallback>
    </mc:AlternateContent>
    <mc:AlternateContent xmlns:mc="http://schemas.openxmlformats.org/markup-compatibility/2006">
      <mc:Choice Requires="x14">
        <control shapeId="19457" r:id="rId7" name="Image1">
          <controlPr defaultSize="0" autoLine="0" r:id="rId8">
            <anchor moveWithCells="1">
              <from>
                <xdr:col>13</xdr:col>
                <xdr:colOff>0</xdr:colOff>
                <xdr:row>0</xdr:row>
                <xdr:rowOff>28575</xdr:rowOff>
              </from>
              <to>
                <xdr:col>13</xdr:col>
                <xdr:colOff>323850</xdr:colOff>
                <xdr:row>1</xdr:row>
                <xdr:rowOff>95250</xdr:rowOff>
              </to>
            </anchor>
          </controlPr>
        </control>
      </mc:Choice>
      <mc:Fallback>
        <control shapeId="19457" r:id="rId7" name="Image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/>
  <dimension ref="A1:BT6"/>
  <sheetViews>
    <sheetView showGridLines="0" workbookViewId="0">
      <selection activeCell="C14" sqref="C14"/>
    </sheetView>
  </sheetViews>
  <sheetFormatPr baseColWidth="10" defaultRowHeight="12.75" x14ac:dyDescent="0.2"/>
  <cols>
    <col min="7" max="7" width="68.7109375" customWidth="1"/>
    <col min="8" max="8" width="34.42578125" customWidth="1"/>
    <col min="9" max="34" width="15.5703125" customWidth="1"/>
  </cols>
  <sheetData>
    <row r="1" spans="1:72" ht="15" x14ac:dyDescent="0.25">
      <c r="A1" s="1" t="s">
        <v>14</v>
      </c>
      <c r="B1" s="1"/>
      <c r="C1" s="1"/>
      <c r="D1" s="1" t="s">
        <v>24</v>
      </c>
      <c r="E1" s="1"/>
      <c r="F1" s="12">
        <f>Einstellungen!B1</f>
        <v>0.33333333333333331</v>
      </c>
      <c r="G1" s="1" t="s">
        <v>27</v>
      </c>
      <c r="H1" s="12">
        <v>0</v>
      </c>
      <c r="I1" s="1"/>
      <c r="J1" s="1" t="s">
        <v>54</v>
      </c>
      <c r="K1" s="25">
        <v>0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</row>
    <row r="2" spans="1:72" ht="15" x14ac:dyDescent="0.25">
      <c r="A2" s="1"/>
      <c r="B2" s="1"/>
      <c r="C2" s="1"/>
      <c r="D2" s="1" t="s">
        <v>25</v>
      </c>
      <c r="E2" s="1"/>
      <c r="F2" s="12">
        <f>0</f>
        <v>0</v>
      </c>
      <c r="G2" s="1" t="s">
        <v>28</v>
      </c>
      <c r="H2" s="12">
        <f>IF(COUNT(E7:E50)&gt;0,AVERAGE(E7:E50),0)</f>
        <v>0</v>
      </c>
      <c r="I2" s="1"/>
      <c r="J2" s="1" t="s">
        <v>51</v>
      </c>
      <c r="K2" s="25">
        <v>0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</row>
    <row r="3" spans="1:72" ht="15" x14ac:dyDescent="0.25">
      <c r="A3" s="1"/>
      <c r="B3" s="1"/>
      <c r="C3" s="1"/>
      <c r="D3" s="1" t="s">
        <v>26</v>
      </c>
      <c r="E3" s="1"/>
      <c r="F3" s="12">
        <f>SUM(F7:F50) - (H3 * Einstellungen!B1)</f>
        <v>0</v>
      </c>
      <c r="G3" s="1" t="s">
        <v>52</v>
      </c>
      <c r="H3" s="13">
        <v>0</v>
      </c>
      <c r="I3" s="1"/>
      <c r="J3" s="1" t="s">
        <v>57</v>
      </c>
      <c r="K3" s="12">
        <f>SUM(D7:D50)</f>
        <v>0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</row>
    <row r="4" spans="1:72" ht="15" x14ac:dyDescent="0.25">
      <c r="A4" s="1"/>
      <c r="B4" s="1"/>
      <c r="C4" s="1"/>
      <c r="D4" s="1" t="s">
        <v>56</v>
      </c>
      <c r="E4" s="1"/>
      <c r="F4" s="12">
        <f>SUM(E7:E50)</f>
        <v>0</v>
      </c>
      <c r="G4" s="1" t="s">
        <v>53</v>
      </c>
      <c r="H4" s="13">
        <f>IF(ROUNDDOWN(F3/Einstellungen!B1,0)-H3&gt;0,ROUNDDOWN(F3/Einstellungen!B1,0)-H3,0)</f>
        <v>0</v>
      </c>
      <c r="I4" s="1"/>
      <c r="J4" s="1"/>
      <c r="K4" s="1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</row>
    <row r="5" spans="1:72" x14ac:dyDescent="0.2">
      <c r="A5" s="6"/>
      <c r="B5" s="6"/>
      <c r="C5" s="6"/>
      <c r="D5" s="6"/>
      <c r="E5" s="6"/>
      <c r="F5" s="6"/>
      <c r="G5" s="6"/>
      <c r="H5" s="6"/>
      <c r="I5" s="6"/>
      <c r="J5" s="6"/>
    </row>
    <row r="6" spans="1:72" ht="14.25" x14ac:dyDescent="0.2">
      <c r="A6" s="5" t="s">
        <v>2</v>
      </c>
      <c r="B6" s="5" t="s">
        <v>3</v>
      </c>
      <c r="C6" s="5" t="s">
        <v>4</v>
      </c>
      <c r="D6" s="5" t="s">
        <v>12</v>
      </c>
      <c r="E6" s="5" t="s">
        <v>5</v>
      </c>
      <c r="F6" s="5" t="s">
        <v>9</v>
      </c>
      <c r="G6" s="5" t="s">
        <v>6</v>
      </c>
      <c r="H6" s="5" t="s">
        <v>7</v>
      </c>
      <c r="I6" s="5" t="s">
        <v>8</v>
      </c>
      <c r="J6" s="5" t="s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83" r:id="rId3" name="Image3">
          <controlPr defaultSize="0" autoLine="0" r:id="rId4">
            <anchor moveWithCells="1">
              <from>
                <xdr:col>13</xdr:col>
                <xdr:colOff>619125</xdr:colOff>
                <xdr:row>0</xdr:row>
                <xdr:rowOff>28575</xdr:rowOff>
              </from>
              <to>
                <xdr:col>13</xdr:col>
                <xdr:colOff>885825</xdr:colOff>
                <xdr:row>1</xdr:row>
                <xdr:rowOff>95250</xdr:rowOff>
              </to>
            </anchor>
          </controlPr>
        </control>
      </mc:Choice>
      <mc:Fallback>
        <control shapeId="20483" r:id="rId3" name="Image3"/>
      </mc:Fallback>
    </mc:AlternateContent>
    <mc:AlternateContent xmlns:mc="http://schemas.openxmlformats.org/markup-compatibility/2006">
      <mc:Choice Requires="x14">
        <control shapeId="20482" r:id="rId5" name="Image2">
          <controlPr defaultSize="0" autoLine="0" r:id="rId6">
            <anchor moveWithCells="1">
              <from>
                <xdr:col>13</xdr:col>
                <xdr:colOff>342900</xdr:colOff>
                <xdr:row>0</xdr:row>
                <xdr:rowOff>28575</xdr:rowOff>
              </from>
              <to>
                <xdr:col>13</xdr:col>
                <xdr:colOff>609600</xdr:colOff>
                <xdr:row>1</xdr:row>
                <xdr:rowOff>95250</xdr:rowOff>
              </to>
            </anchor>
          </controlPr>
        </control>
      </mc:Choice>
      <mc:Fallback>
        <control shapeId="20482" r:id="rId5" name="Image2"/>
      </mc:Fallback>
    </mc:AlternateContent>
    <mc:AlternateContent xmlns:mc="http://schemas.openxmlformats.org/markup-compatibility/2006">
      <mc:Choice Requires="x14">
        <control shapeId="20481" r:id="rId7" name="Image1">
          <controlPr defaultSize="0" autoLine="0" r:id="rId8">
            <anchor moveWithCells="1">
              <from>
                <xdr:col>13</xdr:col>
                <xdr:colOff>9525</xdr:colOff>
                <xdr:row>0</xdr:row>
                <xdr:rowOff>28575</xdr:rowOff>
              </from>
              <to>
                <xdr:col>13</xdr:col>
                <xdr:colOff>333375</xdr:colOff>
                <xdr:row>1</xdr:row>
                <xdr:rowOff>95250</xdr:rowOff>
              </to>
            </anchor>
          </controlPr>
        </control>
      </mc:Choice>
      <mc:Fallback>
        <control shapeId="20481" r:id="rId7" name="Image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BT6"/>
  <sheetViews>
    <sheetView showGridLines="0" workbookViewId="0">
      <selection activeCell="C14" sqref="C14"/>
    </sheetView>
  </sheetViews>
  <sheetFormatPr baseColWidth="10" defaultRowHeight="12.75" x14ac:dyDescent="0.2"/>
  <cols>
    <col min="7" max="7" width="68.7109375" customWidth="1"/>
    <col min="8" max="8" width="34.42578125" customWidth="1"/>
    <col min="9" max="34" width="15.5703125" customWidth="1"/>
  </cols>
  <sheetData>
    <row r="1" spans="1:72" ht="15" x14ac:dyDescent="0.25">
      <c r="A1" s="1" t="s">
        <v>15</v>
      </c>
      <c r="B1" s="1"/>
      <c r="C1" s="1"/>
      <c r="D1" s="1" t="s">
        <v>24</v>
      </c>
      <c r="E1" s="1"/>
      <c r="F1" s="12">
        <f>Einstellungen!B1</f>
        <v>0.33333333333333331</v>
      </c>
      <c r="G1" s="1" t="s">
        <v>27</v>
      </c>
      <c r="H1" s="12">
        <v>0</v>
      </c>
      <c r="I1" s="1"/>
      <c r="J1" s="1" t="s">
        <v>54</v>
      </c>
      <c r="K1" s="25">
        <v>0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</row>
    <row r="2" spans="1:72" ht="15" x14ac:dyDescent="0.25">
      <c r="A2" s="1"/>
      <c r="B2" s="1"/>
      <c r="C2" s="1"/>
      <c r="D2" s="1" t="s">
        <v>25</v>
      </c>
      <c r="E2" s="1"/>
      <c r="F2" s="12">
        <f>0</f>
        <v>0</v>
      </c>
      <c r="G2" s="1" t="s">
        <v>28</v>
      </c>
      <c r="H2" s="12">
        <f>IF(COUNT(E7:E50)&gt;0,AVERAGE(E7:E50),0)</f>
        <v>0</v>
      </c>
      <c r="I2" s="1"/>
      <c r="J2" s="1" t="s">
        <v>51</v>
      </c>
      <c r="K2" s="25">
        <v>0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</row>
    <row r="3" spans="1:72" ht="15" x14ac:dyDescent="0.25">
      <c r="A3" s="1"/>
      <c r="B3" s="1"/>
      <c r="C3" s="1"/>
      <c r="D3" s="1" t="s">
        <v>26</v>
      </c>
      <c r="E3" s="1"/>
      <c r="F3" s="12">
        <f>SUM(F7:F50) - (H3 * Einstellungen!B1)</f>
        <v>0</v>
      </c>
      <c r="G3" s="1" t="s">
        <v>52</v>
      </c>
      <c r="H3" s="13">
        <v>0</v>
      </c>
      <c r="I3" s="1"/>
      <c r="J3" s="1" t="s">
        <v>57</v>
      </c>
      <c r="K3" s="12">
        <f>SUM(D7:D50)</f>
        <v>0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</row>
    <row r="4" spans="1:72" ht="15" x14ac:dyDescent="0.25">
      <c r="A4" s="1"/>
      <c r="B4" s="1"/>
      <c r="C4" s="1"/>
      <c r="D4" s="1" t="s">
        <v>56</v>
      </c>
      <c r="E4" s="1"/>
      <c r="F4" s="12">
        <f>SUM(E7:E50)</f>
        <v>0</v>
      </c>
      <c r="G4" s="1" t="s">
        <v>53</v>
      </c>
      <c r="H4" s="13">
        <f>IF(ROUNDDOWN(F3/Einstellungen!B1,0)-H3&gt;0,ROUNDDOWN(F3/Einstellungen!B1,0)-H3,0)</f>
        <v>0</v>
      </c>
      <c r="I4" s="1"/>
      <c r="J4" s="1"/>
      <c r="K4" s="1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</row>
    <row r="5" spans="1:72" x14ac:dyDescent="0.2">
      <c r="A5" s="6"/>
      <c r="B5" s="6"/>
      <c r="C5" s="6"/>
      <c r="D5" s="6"/>
      <c r="E5" s="6"/>
      <c r="F5" s="6"/>
      <c r="G5" s="6"/>
      <c r="H5" s="6"/>
      <c r="I5" s="6"/>
      <c r="J5" s="6"/>
    </row>
    <row r="6" spans="1:72" ht="14.25" x14ac:dyDescent="0.2">
      <c r="A6" s="5" t="s">
        <v>2</v>
      </c>
      <c r="B6" s="5" t="s">
        <v>3</v>
      </c>
      <c r="C6" s="5" t="s">
        <v>4</v>
      </c>
      <c r="D6" s="5" t="s">
        <v>12</v>
      </c>
      <c r="E6" s="5" t="s">
        <v>5</v>
      </c>
      <c r="F6" s="5" t="s">
        <v>9</v>
      </c>
      <c r="G6" s="5" t="s">
        <v>6</v>
      </c>
      <c r="H6" s="5" t="s">
        <v>7</v>
      </c>
      <c r="I6" s="5" t="s">
        <v>8</v>
      </c>
      <c r="J6" s="5" t="s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1507" r:id="rId3" name="Image3">
          <controlPr defaultSize="0" autoLine="0" r:id="rId4">
            <anchor moveWithCells="1">
              <from>
                <xdr:col>13</xdr:col>
                <xdr:colOff>600075</xdr:colOff>
                <xdr:row>0</xdr:row>
                <xdr:rowOff>38100</xdr:rowOff>
              </from>
              <to>
                <xdr:col>13</xdr:col>
                <xdr:colOff>866775</xdr:colOff>
                <xdr:row>1</xdr:row>
                <xdr:rowOff>104775</xdr:rowOff>
              </to>
            </anchor>
          </controlPr>
        </control>
      </mc:Choice>
      <mc:Fallback>
        <control shapeId="21507" r:id="rId3" name="Image3"/>
      </mc:Fallback>
    </mc:AlternateContent>
    <mc:AlternateContent xmlns:mc="http://schemas.openxmlformats.org/markup-compatibility/2006">
      <mc:Choice Requires="x14">
        <control shapeId="21506" r:id="rId5" name="Image2">
          <controlPr defaultSize="0" autoLine="0" r:id="rId6">
            <anchor moveWithCells="1">
              <from>
                <xdr:col>13</xdr:col>
                <xdr:colOff>323850</xdr:colOff>
                <xdr:row>0</xdr:row>
                <xdr:rowOff>38100</xdr:rowOff>
              </from>
              <to>
                <xdr:col>13</xdr:col>
                <xdr:colOff>590550</xdr:colOff>
                <xdr:row>1</xdr:row>
                <xdr:rowOff>104775</xdr:rowOff>
              </to>
            </anchor>
          </controlPr>
        </control>
      </mc:Choice>
      <mc:Fallback>
        <control shapeId="21506" r:id="rId5" name="Image2"/>
      </mc:Fallback>
    </mc:AlternateContent>
    <mc:AlternateContent xmlns:mc="http://schemas.openxmlformats.org/markup-compatibility/2006">
      <mc:Choice Requires="x14">
        <control shapeId="21505" r:id="rId7" name="Image1">
          <controlPr defaultSize="0" autoLine="0" r:id="rId8">
            <anchor moveWithCells="1">
              <from>
                <xdr:col>12</xdr:col>
                <xdr:colOff>1028700</xdr:colOff>
                <xdr:row>0</xdr:row>
                <xdr:rowOff>38100</xdr:rowOff>
              </from>
              <to>
                <xdr:col>13</xdr:col>
                <xdr:colOff>314325</xdr:colOff>
                <xdr:row>1</xdr:row>
                <xdr:rowOff>104775</xdr:rowOff>
              </to>
            </anchor>
          </controlPr>
        </control>
      </mc:Choice>
      <mc:Fallback>
        <control shapeId="21505" r:id="rId7" name="Image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BT6"/>
  <sheetViews>
    <sheetView showGridLines="0" workbookViewId="0">
      <selection activeCell="C49" sqref="C49"/>
    </sheetView>
  </sheetViews>
  <sheetFormatPr baseColWidth="10" defaultRowHeight="12.75" x14ac:dyDescent="0.2"/>
  <cols>
    <col min="7" max="7" width="68.7109375" customWidth="1"/>
    <col min="8" max="8" width="34.42578125" customWidth="1"/>
    <col min="9" max="34" width="15.5703125" customWidth="1"/>
  </cols>
  <sheetData>
    <row r="1" spans="1:72" ht="15" x14ac:dyDescent="0.25">
      <c r="A1" s="1" t="s">
        <v>16</v>
      </c>
      <c r="B1" s="1"/>
      <c r="C1" s="1"/>
      <c r="D1" s="1" t="s">
        <v>24</v>
      </c>
      <c r="E1" s="1"/>
      <c r="F1" s="12">
        <f>Einstellungen!B1</f>
        <v>0.33333333333333331</v>
      </c>
      <c r="G1" s="1" t="s">
        <v>27</v>
      </c>
      <c r="H1" s="12">
        <v>0</v>
      </c>
      <c r="I1" s="1"/>
      <c r="J1" s="1" t="s">
        <v>54</v>
      </c>
      <c r="K1" s="25">
        <v>0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</row>
    <row r="2" spans="1:72" ht="15" x14ac:dyDescent="0.25">
      <c r="A2" s="1"/>
      <c r="B2" s="1"/>
      <c r="C2" s="1"/>
      <c r="D2" s="1" t="s">
        <v>25</v>
      </c>
      <c r="E2" s="1"/>
      <c r="F2" s="12">
        <f>0</f>
        <v>0</v>
      </c>
      <c r="G2" s="1" t="s">
        <v>28</v>
      </c>
      <c r="H2" s="12">
        <f>IF(COUNT(E7:E50)&gt;0,AVERAGE(E7:E50),0)</f>
        <v>0</v>
      </c>
      <c r="I2" s="1"/>
      <c r="J2" s="1" t="s">
        <v>51</v>
      </c>
      <c r="K2" s="25">
        <v>0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</row>
    <row r="3" spans="1:72" ht="15" x14ac:dyDescent="0.25">
      <c r="A3" s="1"/>
      <c r="B3" s="1"/>
      <c r="C3" s="1"/>
      <c r="D3" s="1" t="s">
        <v>26</v>
      </c>
      <c r="E3" s="1"/>
      <c r="F3" s="12">
        <f>SUM(F7:F50) - (H3 * Einstellungen!B1)</f>
        <v>0</v>
      </c>
      <c r="G3" s="1" t="s">
        <v>52</v>
      </c>
      <c r="H3" s="13">
        <v>0</v>
      </c>
      <c r="I3" s="1"/>
      <c r="J3" s="1" t="s">
        <v>57</v>
      </c>
      <c r="K3" s="12">
        <f>SUM(D7:D50)</f>
        <v>0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</row>
    <row r="4" spans="1:72" ht="15" x14ac:dyDescent="0.25">
      <c r="A4" s="1"/>
      <c r="B4" s="1"/>
      <c r="C4" s="1"/>
      <c r="D4" s="1" t="s">
        <v>56</v>
      </c>
      <c r="E4" s="1"/>
      <c r="F4" s="12">
        <f>SUM(E7:E50)</f>
        <v>0</v>
      </c>
      <c r="G4" s="1" t="s">
        <v>53</v>
      </c>
      <c r="H4" s="13">
        <f>IF(ROUNDDOWN(F3/Einstellungen!B1,0)-H3&gt;0,ROUNDDOWN(F3/Einstellungen!B1,0)-H3,0)</f>
        <v>0</v>
      </c>
      <c r="I4" s="1"/>
      <c r="J4" s="1"/>
      <c r="K4" s="1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</row>
    <row r="5" spans="1:72" x14ac:dyDescent="0.2">
      <c r="A5" s="6"/>
      <c r="B5" s="6"/>
      <c r="C5" s="6"/>
      <c r="D5" s="6"/>
      <c r="E5" s="6"/>
      <c r="F5" s="6"/>
      <c r="G5" s="6"/>
      <c r="H5" s="6"/>
      <c r="I5" s="6"/>
      <c r="J5" s="6"/>
    </row>
    <row r="6" spans="1:72" ht="14.25" x14ac:dyDescent="0.2">
      <c r="A6" s="5" t="s">
        <v>2</v>
      </c>
      <c r="B6" s="5" t="s">
        <v>3</v>
      </c>
      <c r="C6" s="5" t="s">
        <v>4</v>
      </c>
      <c r="D6" s="5" t="s">
        <v>12</v>
      </c>
      <c r="E6" s="5" t="s">
        <v>5</v>
      </c>
      <c r="F6" s="5" t="s">
        <v>9</v>
      </c>
      <c r="G6" s="5" t="s">
        <v>6</v>
      </c>
      <c r="H6" s="5" t="s">
        <v>7</v>
      </c>
      <c r="I6" s="5" t="s">
        <v>8</v>
      </c>
      <c r="J6" s="5" t="s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2531" r:id="rId3" name="Image3">
          <controlPr defaultSize="0" autoLine="0" r:id="rId4">
            <anchor moveWithCells="1">
              <from>
                <xdr:col>13</xdr:col>
                <xdr:colOff>619125</xdr:colOff>
                <xdr:row>0</xdr:row>
                <xdr:rowOff>38100</xdr:rowOff>
              </from>
              <to>
                <xdr:col>13</xdr:col>
                <xdr:colOff>885825</xdr:colOff>
                <xdr:row>1</xdr:row>
                <xdr:rowOff>104775</xdr:rowOff>
              </to>
            </anchor>
          </controlPr>
        </control>
      </mc:Choice>
      <mc:Fallback>
        <control shapeId="22531" r:id="rId3" name="Image3"/>
      </mc:Fallback>
    </mc:AlternateContent>
    <mc:AlternateContent xmlns:mc="http://schemas.openxmlformats.org/markup-compatibility/2006">
      <mc:Choice Requires="x14">
        <control shapeId="22530" r:id="rId5" name="Image2">
          <controlPr defaultSize="0" autoLine="0" r:id="rId6">
            <anchor moveWithCells="1">
              <from>
                <xdr:col>13</xdr:col>
                <xdr:colOff>342900</xdr:colOff>
                <xdr:row>0</xdr:row>
                <xdr:rowOff>38100</xdr:rowOff>
              </from>
              <to>
                <xdr:col>13</xdr:col>
                <xdr:colOff>609600</xdr:colOff>
                <xdr:row>1</xdr:row>
                <xdr:rowOff>104775</xdr:rowOff>
              </to>
            </anchor>
          </controlPr>
        </control>
      </mc:Choice>
      <mc:Fallback>
        <control shapeId="22530" r:id="rId5" name="Image2"/>
      </mc:Fallback>
    </mc:AlternateContent>
    <mc:AlternateContent xmlns:mc="http://schemas.openxmlformats.org/markup-compatibility/2006">
      <mc:Choice Requires="x14">
        <control shapeId="22529" r:id="rId7" name="Image1">
          <controlPr defaultSize="0" autoLine="0" r:id="rId8">
            <anchor moveWithCells="1">
              <from>
                <xdr:col>13</xdr:col>
                <xdr:colOff>9525</xdr:colOff>
                <xdr:row>0</xdr:row>
                <xdr:rowOff>38100</xdr:rowOff>
              </from>
              <to>
                <xdr:col>13</xdr:col>
                <xdr:colOff>333375</xdr:colOff>
                <xdr:row>1</xdr:row>
                <xdr:rowOff>104775</xdr:rowOff>
              </to>
            </anchor>
          </controlPr>
        </control>
      </mc:Choice>
      <mc:Fallback>
        <control shapeId="22529" r:id="rId7" name="Image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BT6"/>
  <sheetViews>
    <sheetView showGridLines="0" workbookViewId="0">
      <selection activeCell="C14" sqref="C14"/>
    </sheetView>
  </sheetViews>
  <sheetFormatPr baseColWidth="10" defaultRowHeight="12.75" x14ac:dyDescent="0.2"/>
  <cols>
    <col min="7" max="7" width="68.7109375" customWidth="1"/>
    <col min="8" max="8" width="34.42578125" customWidth="1"/>
    <col min="9" max="34" width="15.5703125" customWidth="1"/>
  </cols>
  <sheetData>
    <row r="1" spans="1:72" ht="15" x14ac:dyDescent="0.25">
      <c r="A1" s="1" t="s">
        <v>17</v>
      </c>
      <c r="B1" s="1"/>
      <c r="C1" s="1"/>
      <c r="D1" s="1" t="s">
        <v>24</v>
      </c>
      <c r="E1" s="1"/>
      <c r="F1" s="12">
        <f>Einstellungen!B1</f>
        <v>0.33333333333333331</v>
      </c>
      <c r="G1" s="1" t="s">
        <v>27</v>
      </c>
      <c r="H1" s="12">
        <v>0</v>
      </c>
      <c r="I1" s="1"/>
      <c r="J1" s="1" t="s">
        <v>54</v>
      </c>
      <c r="K1" s="25">
        <v>0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</row>
    <row r="2" spans="1:72" ht="15" x14ac:dyDescent="0.25">
      <c r="A2" s="1"/>
      <c r="B2" s="1"/>
      <c r="C2" s="1"/>
      <c r="D2" s="1" t="s">
        <v>25</v>
      </c>
      <c r="E2" s="1"/>
      <c r="F2" s="12">
        <f>0</f>
        <v>0</v>
      </c>
      <c r="G2" s="1" t="s">
        <v>28</v>
      </c>
      <c r="H2" s="12">
        <f>IF(COUNT(E7:E50)&gt;0,AVERAGE(E7:E50),0)</f>
        <v>0</v>
      </c>
      <c r="I2" s="1"/>
      <c r="J2" s="1" t="s">
        <v>51</v>
      </c>
      <c r="K2" s="25">
        <v>0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</row>
    <row r="3" spans="1:72" ht="15" x14ac:dyDescent="0.25">
      <c r="A3" s="1"/>
      <c r="B3" s="1"/>
      <c r="C3" s="1"/>
      <c r="D3" s="1" t="s">
        <v>26</v>
      </c>
      <c r="E3" s="1"/>
      <c r="F3" s="12">
        <f>SUM(F7:F50) - (H3 * Einstellungen!B1)</f>
        <v>0</v>
      </c>
      <c r="G3" s="1" t="s">
        <v>52</v>
      </c>
      <c r="H3" s="13">
        <v>0</v>
      </c>
      <c r="I3" s="1"/>
      <c r="J3" s="1" t="s">
        <v>57</v>
      </c>
      <c r="K3" s="12">
        <f>SUM(D7:D50)</f>
        <v>0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</row>
    <row r="4" spans="1:72" ht="15" x14ac:dyDescent="0.25">
      <c r="A4" s="1"/>
      <c r="B4" s="1"/>
      <c r="C4" s="1"/>
      <c r="D4" s="1" t="s">
        <v>56</v>
      </c>
      <c r="E4" s="1"/>
      <c r="F4" s="12">
        <f>SUM(E7:E50)</f>
        <v>0</v>
      </c>
      <c r="G4" s="1" t="s">
        <v>53</v>
      </c>
      <c r="H4" s="13">
        <f>IF(ROUNDDOWN(F3/Einstellungen!B1,0)-H3&gt;0,ROUNDDOWN(F3/Einstellungen!B1,0)-H3,0)</f>
        <v>0</v>
      </c>
      <c r="I4" s="1"/>
      <c r="J4" s="1"/>
      <c r="K4" s="1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</row>
    <row r="5" spans="1:72" x14ac:dyDescent="0.2">
      <c r="A5" s="6"/>
      <c r="B5" s="6"/>
      <c r="C5" s="6"/>
      <c r="D5" s="6"/>
      <c r="E5" s="6"/>
      <c r="F5" s="6"/>
      <c r="G5" s="6"/>
      <c r="H5" s="6"/>
      <c r="I5" s="6"/>
      <c r="J5" s="6"/>
    </row>
    <row r="6" spans="1:72" ht="14.25" x14ac:dyDescent="0.2">
      <c r="A6" s="5" t="s">
        <v>2</v>
      </c>
      <c r="B6" s="5" t="s">
        <v>3</v>
      </c>
      <c r="C6" s="5" t="s">
        <v>4</v>
      </c>
      <c r="D6" s="5" t="s">
        <v>12</v>
      </c>
      <c r="E6" s="5" t="s">
        <v>5</v>
      </c>
      <c r="F6" s="5" t="s">
        <v>9</v>
      </c>
      <c r="G6" s="5" t="s">
        <v>6</v>
      </c>
      <c r="H6" s="5" t="s">
        <v>7</v>
      </c>
      <c r="I6" s="5" t="s">
        <v>8</v>
      </c>
      <c r="J6" s="5" t="s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3555" r:id="rId3" name="Image3">
          <controlPr defaultSize="0" autoLine="0" r:id="rId4">
            <anchor moveWithCells="1">
              <from>
                <xdr:col>13</xdr:col>
                <xdr:colOff>600075</xdr:colOff>
                <xdr:row>0</xdr:row>
                <xdr:rowOff>38100</xdr:rowOff>
              </from>
              <to>
                <xdr:col>13</xdr:col>
                <xdr:colOff>866775</xdr:colOff>
                <xdr:row>1</xdr:row>
                <xdr:rowOff>104775</xdr:rowOff>
              </to>
            </anchor>
          </controlPr>
        </control>
      </mc:Choice>
      <mc:Fallback>
        <control shapeId="23555" r:id="rId3" name="Image3"/>
      </mc:Fallback>
    </mc:AlternateContent>
    <mc:AlternateContent xmlns:mc="http://schemas.openxmlformats.org/markup-compatibility/2006">
      <mc:Choice Requires="x14">
        <control shapeId="23554" r:id="rId5" name="Image2">
          <controlPr defaultSize="0" autoLine="0" r:id="rId6">
            <anchor moveWithCells="1">
              <from>
                <xdr:col>13</xdr:col>
                <xdr:colOff>323850</xdr:colOff>
                <xdr:row>0</xdr:row>
                <xdr:rowOff>38100</xdr:rowOff>
              </from>
              <to>
                <xdr:col>13</xdr:col>
                <xdr:colOff>590550</xdr:colOff>
                <xdr:row>1</xdr:row>
                <xdr:rowOff>104775</xdr:rowOff>
              </to>
            </anchor>
          </controlPr>
        </control>
      </mc:Choice>
      <mc:Fallback>
        <control shapeId="23554" r:id="rId5" name="Image2"/>
      </mc:Fallback>
    </mc:AlternateContent>
    <mc:AlternateContent xmlns:mc="http://schemas.openxmlformats.org/markup-compatibility/2006">
      <mc:Choice Requires="x14">
        <control shapeId="23553" r:id="rId7" name="Image1">
          <controlPr defaultSize="0" autoLine="0" r:id="rId8">
            <anchor moveWithCells="1">
              <from>
                <xdr:col>12</xdr:col>
                <xdr:colOff>1028700</xdr:colOff>
                <xdr:row>0</xdr:row>
                <xdr:rowOff>38100</xdr:rowOff>
              </from>
              <to>
                <xdr:col>13</xdr:col>
                <xdr:colOff>314325</xdr:colOff>
                <xdr:row>1</xdr:row>
                <xdr:rowOff>104775</xdr:rowOff>
              </to>
            </anchor>
          </controlPr>
        </control>
      </mc:Choice>
      <mc:Fallback>
        <control shapeId="23553" r:id="rId7" name="Image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BT6"/>
  <sheetViews>
    <sheetView showGridLines="0" workbookViewId="0">
      <selection activeCell="C14" sqref="C14"/>
    </sheetView>
  </sheetViews>
  <sheetFormatPr baseColWidth="10" defaultRowHeight="12.75" x14ac:dyDescent="0.2"/>
  <cols>
    <col min="7" max="7" width="68.7109375" customWidth="1"/>
    <col min="8" max="8" width="34.42578125" customWidth="1"/>
    <col min="9" max="34" width="15.5703125" customWidth="1"/>
  </cols>
  <sheetData>
    <row r="1" spans="1:72" ht="15" x14ac:dyDescent="0.25">
      <c r="A1" s="1" t="s">
        <v>18</v>
      </c>
      <c r="B1" s="1"/>
      <c r="C1" s="1"/>
      <c r="D1" s="1" t="s">
        <v>24</v>
      </c>
      <c r="E1" s="1"/>
      <c r="F1" s="12">
        <f>Einstellungen!B1</f>
        <v>0.33333333333333331</v>
      </c>
      <c r="G1" s="1" t="s">
        <v>27</v>
      </c>
      <c r="H1" s="12">
        <v>0</v>
      </c>
      <c r="I1" s="1"/>
      <c r="J1" s="1" t="s">
        <v>54</v>
      </c>
      <c r="K1" s="25">
        <v>0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</row>
    <row r="2" spans="1:72" ht="15" x14ac:dyDescent="0.25">
      <c r="A2" s="1"/>
      <c r="B2" s="1"/>
      <c r="C2" s="1"/>
      <c r="D2" s="1" t="s">
        <v>25</v>
      </c>
      <c r="E2" s="1"/>
      <c r="F2" s="12">
        <f>0</f>
        <v>0</v>
      </c>
      <c r="G2" s="1" t="s">
        <v>28</v>
      </c>
      <c r="H2" s="12">
        <f>IF(COUNT(E7:E50)&gt;0,AVERAGE(E7:E50),0)</f>
        <v>0</v>
      </c>
      <c r="I2" s="1"/>
      <c r="J2" s="1" t="s">
        <v>51</v>
      </c>
      <c r="K2" s="25">
        <v>0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</row>
    <row r="3" spans="1:72" ht="15" x14ac:dyDescent="0.25">
      <c r="A3" s="1"/>
      <c r="B3" s="1"/>
      <c r="C3" s="1"/>
      <c r="D3" s="1" t="s">
        <v>26</v>
      </c>
      <c r="E3" s="1"/>
      <c r="F3" s="12">
        <f>SUM(F7:F50) - (H3 * Einstellungen!B1)</f>
        <v>0</v>
      </c>
      <c r="G3" s="1" t="s">
        <v>52</v>
      </c>
      <c r="H3" s="13">
        <v>0</v>
      </c>
      <c r="I3" s="1"/>
      <c r="J3" s="1" t="s">
        <v>57</v>
      </c>
      <c r="K3" s="12">
        <f>SUM(D7:D50)</f>
        <v>0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</row>
    <row r="4" spans="1:72" ht="15" x14ac:dyDescent="0.25">
      <c r="A4" s="1"/>
      <c r="B4" s="1"/>
      <c r="C4" s="1"/>
      <c r="D4" s="1" t="s">
        <v>56</v>
      </c>
      <c r="E4" s="1"/>
      <c r="F4" s="12">
        <f>SUM(E7:E50)</f>
        <v>0</v>
      </c>
      <c r="G4" s="1" t="s">
        <v>53</v>
      </c>
      <c r="H4" s="13">
        <f>IF(ROUNDDOWN(F3/Einstellungen!B1,0)-H3&gt;0,ROUNDDOWN(F3/Einstellungen!B1,0)-H3,0)</f>
        <v>0</v>
      </c>
      <c r="I4" s="1"/>
      <c r="J4" s="1"/>
      <c r="K4" s="1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</row>
    <row r="5" spans="1:72" x14ac:dyDescent="0.2">
      <c r="A5" s="6"/>
      <c r="B5" s="6"/>
      <c r="C5" s="6"/>
      <c r="D5" s="6"/>
      <c r="E5" s="6"/>
      <c r="F5" s="6"/>
      <c r="G5" s="6"/>
      <c r="H5" s="6"/>
      <c r="I5" s="6"/>
      <c r="J5" s="6"/>
    </row>
    <row r="6" spans="1:72" ht="14.25" x14ac:dyDescent="0.2">
      <c r="A6" s="5" t="s">
        <v>2</v>
      </c>
      <c r="B6" s="5" t="s">
        <v>3</v>
      </c>
      <c r="C6" s="5" t="s">
        <v>4</v>
      </c>
      <c r="D6" s="5" t="s">
        <v>12</v>
      </c>
      <c r="E6" s="5" t="s">
        <v>5</v>
      </c>
      <c r="F6" s="5" t="s">
        <v>9</v>
      </c>
      <c r="G6" s="5" t="s">
        <v>6</v>
      </c>
      <c r="H6" s="5" t="s">
        <v>7</v>
      </c>
      <c r="I6" s="5" t="s">
        <v>8</v>
      </c>
      <c r="J6" s="5" t="s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4579" r:id="rId3" name="Image3">
          <controlPr defaultSize="0" autoLine="0" r:id="rId4">
            <anchor moveWithCells="1">
              <from>
                <xdr:col>13</xdr:col>
                <xdr:colOff>619125</xdr:colOff>
                <xdr:row>0</xdr:row>
                <xdr:rowOff>28575</xdr:rowOff>
              </from>
              <to>
                <xdr:col>13</xdr:col>
                <xdr:colOff>885825</xdr:colOff>
                <xdr:row>1</xdr:row>
                <xdr:rowOff>95250</xdr:rowOff>
              </to>
            </anchor>
          </controlPr>
        </control>
      </mc:Choice>
      <mc:Fallback>
        <control shapeId="24579" r:id="rId3" name="Image3"/>
      </mc:Fallback>
    </mc:AlternateContent>
    <mc:AlternateContent xmlns:mc="http://schemas.openxmlformats.org/markup-compatibility/2006">
      <mc:Choice Requires="x14">
        <control shapeId="24578" r:id="rId5" name="Image2">
          <controlPr defaultSize="0" autoLine="0" r:id="rId6">
            <anchor moveWithCells="1">
              <from>
                <xdr:col>13</xdr:col>
                <xdr:colOff>342900</xdr:colOff>
                <xdr:row>0</xdr:row>
                <xdr:rowOff>28575</xdr:rowOff>
              </from>
              <to>
                <xdr:col>13</xdr:col>
                <xdr:colOff>609600</xdr:colOff>
                <xdr:row>1</xdr:row>
                <xdr:rowOff>95250</xdr:rowOff>
              </to>
            </anchor>
          </controlPr>
        </control>
      </mc:Choice>
      <mc:Fallback>
        <control shapeId="24578" r:id="rId5" name="Image2"/>
      </mc:Fallback>
    </mc:AlternateContent>
    <mc:AlternateContent xmlns:mc="http://schemas.openxmlformats.org/markup-compatibility/2006">
      <mc:Choice Requires="x14">
        <control shapeId="24577" r:id="rId7" name="Image1">
          <controlPr defaultSize="0" autoLine="0" r:id="rId8">
            <anchor moveWithCells="1">
              <from>
                <xdr:col>13</xdr:col>
                <xdr:colOff>9525</xdr:colOff>
                <xdr:row>0</xdr:row>
                <xdr:rowOff>28575</xdr:rowOff>
              </from>
              <to>
                <xdr:col>13</xdr:col>
                <xdr:colOff>333375</xdr:colOff>
                <xdr:row>1</xdr:row>
                <xdr:rowOff>95250</xdr:rowOff>
              </to>
            </anchor>
          </controlPr>
        </control>
      </mc:Choice>
      <mc:Fallback>
        <control shapeId="24577" r:id="rId7" name="Image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BT6"/>
  <sheetViews>
    <sheetView showGridLines="0" workbookViewId="0">
      <selection activeCell="C14" sqref="C14"/>
    </sheetView>
  </sheetViews>
  <sheetFormatPr baseColWidth="10" defaultRowHeight="12.75" x14ac:dyDescent="0.2"/>
  <cols>
    <col min="7" max="7" width="68.7109375" customWidth="1"/>
    <col min="8" max="8" width="34.42578125" customWidth="1"/>
    <col min="9" max="34" width="15.5703125" customWidth="1"/>
  </cols>
  <sheetData>
    <row r="1" spans="1:72" ht="15" x14ac:dyDescent="0.25">
      <c r="A1" s="1" t="s">
        <v>19</v>
      </c>
      <c r="B1" s="1"/>
      <c r="C1" s="1"/>
      <c r="D1" s="1" t="s">
        <v>24</v>
      </c>
      <c r="E1" s="1"/>
      <c r="F1" s="12">
        <f>Einstellungen!B1</f>
        <v>0.33333333333333331</v>
      </c>
      <c r="G1" s="1" t="s">
        <v>27</v>
      </c>
      <c r="H1" s="12">
        <v>0</v>
      </c>
      <c r="I1" s="1"/>
      <c r="J1" s="1" t="s">
        <v>54</v>
      </c>
      <c r="K1" s="25">
        <v>0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</row>
    <row r="2" spans="1:72" ht="15" x14ac:dyDescent="0.25">
      <c r="A2" s="1"/>
      <c r="B2" s="1"/>
      <c r="C2" s="1"/>
      <c r="D2" s="1" t="s">
        <v>25</v>
      </c>
      <c r="E2" s="1"/>
      <c r="F2" s="12">
        <f>0</f>
        <v>0</v>
      </c>
      <c r="G2" s="1" t="s">
        <v>28</v>
      </c>
      <c r="H2" s="12">
        <f>IF(COUNT(E7:E50)&gt;0,AVERAGE(E7:E50),0)</f>
        <v>0</v>
      </c>
      <c r="I2" s="1"/>
      <c r="J2" s="1" t="s">
        <v>51</v>
      </c>
      <c r="K2" s="25">
        <v>0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</row>
    <row r="3" spans="1:72" ht="15" x14ac:dyDescent="0.25">
      <c r="A3" s="1"/>
      <c r="B3" s="1"/>
      <c r="C3" s="1"/>
      <c r="D3" s="1" t="s">
        <v>26</v>
      </c>
      <c r="E3" s="1"/>
      <c r="F3" s="12">
        <f>SUM(F7:F50) - (H3 * Einstellungen!B1)</f>
        <v>0</v>
      </c>
      <c r="G3" s="1" t="s">
        <v>52</v>
      </c>
      <c r="H3" s="13">
        <v>0</v>
      </c>
      <c r="I3" s="1"/>
      <c r="J3" s="1" t="s">
        <v>57</v>
      </c>
      <c r="K3" s="12">
        <f>SUM(D7:D50)</f>
        <v>0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</row>
    <row r="4" spans="1:72" ht="15" x14ac:dyDescent="0.25">
      <c r="A4" s="1"/>
      <c r="B4" s="1"/>
      <c r="C4" s="1"/>
      <c r="D4" s="1" t="s">
        <v>56</v>
      </c>
      <c r="E4" s="1"/>
      <c r="F4" s="12">
        <f>SUM(E7:E50)</f>
        <v>0</v>
      </c>
      <c r="G4" s="1" t="s">
        <v>53</v>
      </c>
      <c r="H4" s="13">
        <f>IF(ROUNDDOWN(F3/Einstellungen!B1,0)-H3&gt;0,ROUNDDOWN(F3/Einstellungen!B1,0)-H3,0)</f>
        <v>0</v>
      </c>
      <c r="I4" s="1"/>
      <c r="J4" s="1"/>
      <c r="K4" s="1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</row>
    <row r="5" spans="1:72" x14ac:dyDescent="0.2">
      <c r="A5" s="6"/>
      <c r="B5" s="6"/>
      <c r="C5" s="6"/>
      <c r="D5" s="6"/>
      <c r="E5" s="6"/>
      <c r="F5" s="6"/>
      <c r="G5" s="6"/>
      <c r="H5" s="6"/>
      <c r="I5" s="6"/>
      <c r="J5" s="6"/>
    </row>
    <row r="6" spans="1:72" ht="14.25" x14ac:dyDescent="0.2">
      <c r="A6" s="5" t="s">
        <v>2</v>
      </c>
      <c r="B6" s="5" t="s">
        <v>3</v>
      </c>
      <c r="C6" s="5" t="s">
        <v>4</v>
      </c>
      <c r="D6" s="5" t="s">
        <v>12</v>
      </c>
      <c r="E6" s="5" t="s">
        <v>5</v>
      </c>
      <c r="F6" s="5" t="s">
        <v>9</v>
      </c>
      <c r="G6" s="5" t="s">
        <v>6</v>
      </c>
      <c r="H6" s="5" t="s">
        <v>7</v>
      </c>
      <c r="I6" s="5" t="s">
        <v>8</v>
      </c>
      <c r="J6" s="5" t="s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5603" r:id="rId3" name="Image3">
          <controlPr defaultSize="0" autoLine="0" r:id="rId4">
            <anchor moveWithCells="1">
              <from>
                <xdr:col>13</xdr:col>
                <xdr:colOff>619125</xdr:colOff>
                <xdr:row>0</xdr:row>
                <xdr:rowOff>47625</xdr:rowOff>
              </from>
              <to>
                <xdr:col>13</xdr:col>
                <xdr:colOff>885825</xdr:colOff>
                <xdr:row>1</xdr:row>
                <xdr:rowOff>114300</xdr:rowOff>
              </to>
            </anchor>
          </controlPr>
        </control>
      </mc:Choice>
      <mc:Fallback>
        <control shapeId="25603" r:id="rId3" name="Image3"/>
      </mc:Fallback>
    </mc:AlternateContent>
    <mc:AlternateContent xmlns:mc="http://schemas.openxmlformats.org/markup-compatibility/2006">
      <mc:Choice Requires="x14">
        <control shapeId="25602" r:id="rId5" name="Image2">
          <controlPr defaultSize="0" autoLine="0" r:id="rId6">
            <anchor moveWithCells="1">
              <from>
                <xdr:col>13</xdr:col>
                <xdr:colOff>342900</xdr:colOff>
                <xdr:row>0</xdr:row>
                <xdr:rowOff>47625</xdr:rowOff>
              </from>
              <to>
                <xdr:col>13</xdr:col>
                <xdr:colOff>609600</xdr:colOff>
                <xdr:row>1</xdr:row>
                <xdr:rowOff>114300</xdr:rowOff>
              </to>
            </anchor>
          </controlPr>
        </control>
      </mc:Choice>
      <mc:Fallback>
        <control shapeId="25602" r:id="rId5" name="Image2"/>
      </mc:Fallback>
    </mc:AlternateContent>
    <mc:AlternateContent xmlns:mc="http://schemas.openxmlformats.org/markup-compatibility/2006">
      <mc:Choice Requires="x14">
        <control shapeId="25601" r:id="rId7" name="Image1">
          <controlPr defaultSize="0" autoLine="0" r:id="rId8">
            <anchor moveWithCells="1">
              <from>
                <xdr:col>13</xdr:col>
                <xdr:colOff>9525</xdr:colOff>
                <xdr:row>0</xdr:row>
                <xdr:rowOff>47625</xdr:rowOff>
              </from>
              <to>
                <xdr:col>13</xdr:col>
                <xdr:colOff>333375</xdr:colOff>
                <xdr:row>1</xdr:row>
                <xdr:rowOff>114300</xdr:rowOff>
              </to>
            </anchor>
          </controlPr>
        </control>
      </mc:Choice>
      <mc:Fallback>
        <control shapeId="25601" r:id="rId7" name="Image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BT6"/>
  <sheetViews>
    <sheetView showGridLines="0" workbookViewId="0">
      <selection activeCell="C14" sqref="C14"/>
    </sheetView>
  </sheetViews>
  <sheetFormatPr baseColWidth="10" defaultRowHeight="12.75" x14ac:dyDescent="0.2"/>
  <cols>
    <col min="7" max="7" width="68.7109375" customWidth="1"/>
    <col min="8" max="8" width="34.42578125" customWidth="1"/>
    <col min="9" max="34" width="15.5703125" customWidth="1"/>
  </cols>
  <sheetData>
    <row r="1" spans="1:72" ht="15" x14ac:dyDescent="0.25">
      <c r="A1" s="1" t="s">
        <v>20</v>
      </c>
      <c r="B1" s="1"/>
      <c r="C1" s="1"/>
      <c r="D1" s="1" t="s">
        <v>24</v>
      </c>
      <c r="E1" s="1"/>
      <c r="F1" s="12">
        <f>Einstellungen!B1</f>
        <v>0.33333333333333331</v>
      </c>
      <c r="G1" s="1" t="s">
        <v>27</v>
      </c>
      <c r="H1" s="12">
        <v>0</v>
      </c>
      <c r="I1" s="1"/>
      <c r="J1" s="1" t="s">
        <v>54</v>
      </c>
      <c r="K1" s="25">
        <v>0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</row>
    <row r="2" spans="1:72" ht="15" x14ac:dyDescent="0.25">
      <c r="A2" s="1"/>
      <c r="B2" s="1"/>
      <c r="C2" s="1"/>
      <c r="D2" s="1" t="s">
        <v>25</v>
      </c>
      <c r="E2" s="1"/>
      <c r="F2" s="12">
        <f>0</f>
        <v>0</v>
      </c>
      <c r="G2" s="1" t="s">
        <v>28</v>
      </c>
      <c r="H2" s="12">
        <f>IF(COUNT(E7:E50)&gt;0,AVERAGE(E7:E50),0)</f>
        <v>0</v>
      </c>
      <c r="I2" s="1"/>
      <c r="J2" s="1" t="s">
        <v>51</v>
      </c>
      <c r="K2" s="25">
        <v>0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</row>
    <row r="3" spans="1:72" ht="15" x14ac:dyDescent="0.25">
      <c r="A3" s="1"/>
      <c r="B3" s="1"/>
      <c r="C3" s="1"/>
      <c r="D3" s="1" t="s">
        <v>26</v>
      </c>
      <c r="E3" s="1"/>
      <c r="F3" s="12">
        <f>SUM(F7:F50) - (H3 * Einstellungen!B1)</f>
        <v>0</v>
      </c>
      <c r="G3" s="1" t="s">
        <v>52</v>
      </c>
      <c r="H3" s="13">
        <v>0</v>
      </c>
      <c r="I3" s="1"/>
      <c r="J3" s="1" t="s">
        <v>57</v>
      </c>
      <c r="K3" s="12">
        <f>SUM(D7:D50)</f>
        <v>0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</row>
    <row r="4" spans="1:72" ht="15" x14ac:dyDescent="0.25">
      <c r="A4" s="1"/>
      <c r="B4" s="1"/>
      <c r="C4" s="1"/>
      <c r="D4" s="1" t="s">
        <v>56</v>
      </c>
      <c r="E4" s="1"/>
      <c r="F4" s="12">
        <f>SUM(E7:E50)</f>
        <v>0</v>
      </c>
      <c r="G4" s="1" t="s">
        <v>53</v>
      </c>
      <c r="H4" s="13">
        <f>IF(ROUNDDOWN(F3/Einstellungen!B1,0)-H3&gt;0,ROUNDDOWN(F3/Einstellungen!B1,0)-H3,0)</f>
        <v>0</v>
      </c>
      <c r="I4" s="1"/>
      <c r="J4" s="1"/>
      <c r="K4" s="1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</row>
    <row r="5" spans="1:72" x14ac:dyDescent="0.2">
      <c r="A5" s="6"/>
      <c r="B5" s="6"/>
      <c r="C5" s="6"/>
      <c r="D5" s="6"/>
      <c r="E5" s="6"/>
      <c r="F5" s="6"/>
      <c r="G5" s="6"/>
      <c r="H5" s="6"/>
      <c r="I5" s="6"/>
      <c r="J5" s="6"/>
    </row>
    <row r="6" spans="1:72" ht="14.25" x14ac:dyDescent="0.2">
      <c r="A6" s="5" t="s">
        <v>2</v>
      </c>
      <c r="B6" s="5" t="s">
        <v>3</v>
      </c>
      <c r="C6" s="5" t="s">
        <v>4</v>
      </c>
      <c r="D6" s="5" t="s">
        <v>12</v>
      </c>
      <c r="E6" s="5" t="s">
        <v>5</v>
      </c>
      <c r="F6" s="5" t="s">
        <v>9</v>
      </c>
      <c r="G6" s="5" t="s">
        <v>6</v>
      </c>
      <c r="H6" s="5" t="s">
        <v>7</v>
      </c>
      <c r="I6" s="5" t="s">
        <v>8</v>
      </c>
      <c r="J6" s="5" t="s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6627" r:id="rId3" name="Image3">
          <controlPr defaultSize="0" autoLine="0" r:id="rId4">
            <anchor moveWithCells="1">
              <from>
                <xdr:col>13</xdr:col>
                <xdr:colOff>619125</xdr:colOff>
                <xdr:row>0</xdr:row>
                <xdr:rowOff>19050</xdr:rowOff>
              </from>
              <to>
                <xdr:col>13</xdr:col>
                <xdr:colOff>885825</xdr:colOff>
                <xdr:row>1</xdr:row>
                <xdr:rowOff>85725</xdr:rowOff>
              </to>
            </anchor>
          </controlPr>
        </control>
      </mc:Choice>
      <mc:Fallback>
        <control shapeId="26627" r:id="rId3" name="Image3"/>
      </mc:Fallback>
    </mc:AlternateContent>
    <mc:AlternateContent xmlns:mc="http://schemas.openxmlformats.org/markup-compatibility/2006">
      <mc:Choice Requires="x14">
        <control shapeId="26626" r:id="rId5" name="Image2">
          <controlPr defaultSize="0" autoLine="0" r:id="rId6">
            <anchor moveWithCells="1">
              <from>
                <xdr:col>13</xdr:col>
                <xdr:colOff>342900</xdr:colOff>
                <xdr:row>0</xdr:row>
                <xdr:rowOff>19050</xdr:rowOff>
              </from>
              <to>
                <xdr:col>13</xdr:col>
                <xdr:colOff>609600</xdr:colOff>
                <xdr:row>1</xdr:row>
                <xdr:rowOff>85725</xdr:rowOff>
              </to>
            </anchor>
          </controlPr>
        </control>
      </mc:Choice>
      <mc:Fallback>
        <control shapeId="26626" r:id="rId5" name="Image2"/>
      </mc:Fallback>
    </mc:AlternateContent>
    <mc:AlternateContent xmlns:mc="http://schemas.openxmlformats.org/markup-compatibility/2006">
      <mc:Choice Requires="x14">
        <control shapeId="26625" r:id="rId7" name="Image1">
          <controlPr defaultSize="0" autoLine="0" r:id="rId8">
            <anchor moveWithCells="1">
              <from>
                <xdr:col>13</xdr:col>
                <xdr:colOff>9525</xdr:colOff>
                <xdr:row>0</xdr:row>
                <xdr:rowOff>19050</xdr:rowOff>
              </from>
              <to>
                <xdr:col>13</xdr:col>
                <xdr:colOff>333375</xdr:colOff>
                <xdr:row>1</xdr:row>
                <xdr:rowOff>85725</xdr:rowOff>
              </to>
            </anchor>
          </controlPr>
        </control>
      </mc:Choice>
      <mc:Fallback>
        <control shapeId="26625" r:id="rId7" name="Image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/>
  <dimension ref="A1:BT6"/>
  <sheetViews>
    <sheetView showGridLines="0" workbookViewId="0">
      <selection activeCell="C14" sqref="C14"/>
    </sheetView>
  </sheetViews>
  <sheetFormatPr baseColWidth="10" defaultRowHeight="12.75" x14ac:dyDescent="0.2"/>
  <cols>
    <col min="7" max="7" width="68.7109375" customWidth="1"/>
    <col min="8" max="8" width="34.42578125" customWidth="1"/>
    <col min="9" max="34" width="15.5703125" customWidth="1"/>
  </cols>
  <sheetData>
    <row r="1" spans="1:72" ht="15" x14ac:dyDescent="0.25">
      <c r="A1" s="1" t="s">
        <v>21</v>
      </c>
      <c r="B1" s="1"/>
      <c r="C1" s="1"/>
      <c r="D1" s="1" t="s">
        <v>24</v>
      </c>
      <c r="E1" s="1"/>
      <c r="F1" s="12">
        <f>Einstellungen!B1</f>
        <v>0.33333333333333331</v>
      </c>
      <c r="G1" s="1" t="s">
        <v>27</v>
      </c>
      <c r="H1" s="12">
        <v>0</v>
      </c>
      <c r="I1" s="1"/>
      <c r="J1" s="1" t="s">
        <v>54</v>
      </c>
      <c r="K1" s="25">
        <v>0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</row>
    <row r="2" spans="1:72" ht="15" x14ac:dyDescent="0.25">
      <c r="A2" s="1"/>
      <c r="B2" s="1"/>
      <c r="C2" s="1"/>
      <c r="D2" s="1" t="s">
        <v>25</v>
      </c>
      <c r="E2" s="1"/>
      <c r="F2" s="12">
        <f>0</f>
        <v>0</v>
      </c>
      <c r="G2" s="1" t="s">
        <v>28</v>
      </c>
      <c r="H2" s="12">
        <f>IF(COUNT(E7:E50)&gt;0,AVERAGE(E7:E50),0)</f>
        <v>0</v>
      </c>
      <c r="I2" s="1"/>
      <c r="J2" s="1" t="s">
        <v>51</v>
      </c>
      <c r="K2" s="25">
        <v>0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</row>
    <row r="3" spans="1:72" ht="15" x14ac:dyDescent="0.25">
      <c r="A3" s="1"/>
      <c r="B3" s="1"/>
      <c r="C3" s="1"/>
      <c r="D3" s="1" t="s">
        <v>26</v>
      </c>
      <c r="E3" s="1"/>
      <c r="F3" s="12">
        <f>SUM(F7:F50) - (H3 * Einstellungen!B1)</f>
        <v>0</v>
      </c>
      <c r="G3" s="1" t="s">
        <v>52</v>
      </c>
      <c r="H3" s="13">
        <v>0</v>
      </c>
      <c r="I3" s="1"/>
      <c r="J3" s="1" t="s">
        <v>57</v>
      </c>
      <c r="K3" s="12">
        <f>SUM(D7:D50)</f>
        <v>0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</row>
    <row r="4" spans="1:72" ht="15" x14ac:dyDescent="0.25">
      <c r="A4" s="1"/>
      <c r="B4" s="1"/>
      <c r="C4" s="1"/>
      <c r="D4" s="1" t="s">
        <v>56</v>
      </c>
      <c r="E4" s="1"/>
      <c r="F4" s="12">
        <f>SUM(E7:E50)</f>
        <v>0</v>
      </c>
      <c r="G4" s="1" t="s">
        <v>53</v>
      </c>
      <c r="H4" s="13">
        <f>IF(ROUNDDOWN(F3/Einstellungen!B1,0)-H3&gt;0,ROUNDDOWN(F3/Einstellungen!B1,0)-H3,0)</f>
        <v>0</v>
      </c>
      <c r="I4" s="1"/>
      <c r="J4" s="1"/>
      <c r="K4" s="1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</row>
    <row r="5" spans="1:72" x14ac:dyDescent="0.2">
      <c r="A5" s="6"/>
      <c r="B5" s="6"/>
      <c r="C5" s="6"/>
      <c r="D5" s="6"/>
      <c r="E5" s="6"/>
      <c r="F5" s="6"/>
      <c r="G5" s="6"/>
      <c r="H5" s="6"/>
      <c r="I5" s="6"/>
      <c r="J5" s="6"/>
    </row>
    <row r="6" spans="1:72" ht="14.25" x14ac:dyDescent="0.2">
      <c r="A6" s="5" t="s">
        <v>2</v>
      </c>
      <c r="B6" s="5" t="s">
        <v>3</v>
      </c>
      <c r="C6" s="5" t="s">
        <v>4</v>
      </c>
      <c r="D6" s="5" t="s">
        <v>12</v>
      </c>
      <c r="E6" s="5" t="s">
        <v>5</v>
      </c>
      <c r="F6" s="5" t="s">
        <v>9</v>
      </c>
      <c r="G6" s="5" t="s">
        <v>6</v>
      </c>
      <c r="H6" s="5" t="s">
        <v>7</v>
      </c>
      <c r="I6" s="5" t="s">
        <v>8</v>
      </c>
      <c r="J6" s="5" t="s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7651" r:id="rId3" name="Image3">
          <controlPr defaultSize="0" autoLine="0" r:id="rId4">
            <anchor moveWithCells="1">
              <from>
                <xdr:col>13</xdr:col>
                <xdr:colOff>590550</xdr:colOff>
                <xdr:row>0</xdr:row>
                <xdr:rowOff>38100</xdr:rowOff>
              </from>
              <to>
                <xdr:col>13</xdr:col>
                <xdr:colOff>857250</xdr:colOff>
                <xdr:row>1</xdr:row>
                <xdr:rowOff>104775</xdr:rowOff>
              </to>
            </anchor>
          </controlPr>
        </control>
      </mc:Choice>
      <mc:Fallback>
        <control shapeId="27651" r:id="rId3" name="Image3"/>
      </mc:Fallback>
    </mc:AlternateContent>
    <mc:AlternateContent xmlns:mc="http://schemas.openxmlformats.org/markup-compatibility/2006">
      <mc:Choice Requires="x14">
        <control shapeId="27650" r:id="rId5" name="Image2">
          <controlPr defaultSize="0" autoLine="0" r:id="rId6">
            <anchor moveWithCells="1">
              <from>
                <xdr:col>13</xdr:col>
                <xdr:colOff>314325</xdr:colOff>
                <xdr:row>0</xdr:row>
                <xdr:rowOff>38100</xdr:rowOff>
              </from>
              <to>
                <xdr:col>13</xdr:col>
                <xdr:colOff>581025</xdr:colOff>
                <xdr:row>1</xdr:row>
                <xdr:rowOff>104775</xdr:rowOff>
              </to>
            </anchor>
          </controlPr>
        </control>
      </mc:Choice>
      <mc:Fallback>
        <control shapeId="27650" r:id="rId5" name="Image2"/>
      </mc:Fallback>
    </mc:AlternateContent>
    <mc:AlternateContent xmlns:mc="http://schemas.openxmlformats.org/markup-compatibility/2006">
      <mc:Choice Requires="x14">
        <control shapeId="27649" r:id="rId7" name="Image1">
          <controlPr defaultSize="0" autoLine="0" r:id="rId8">
            <anchor moveWithCells="1">
              <from>
                <xdr:col>12</xdr:col>
                <xdr:colOff>1019175</xdr:colOff>
                <xdr:row>0</xdr:row>
                <xdr:rowOff>38100</xdr:rowOff>
              </from>
              <to>
                <xdr:col>13</xdr:col>
                <xdr:colOff>304800</xdr:colOff>
                <xdr:row>1</xdr:row>
                <xdr:rowOff>104775</xdr:rowOff>
              </to>
            </anchor>
          </controlPr>
        </control>
      </mc:Choice>
      <mc:Fallback>
        <control shapeId="27649" r:id="rId7" name="Image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/>
  <dimension ref="A1:BT6"/>
  <sheetViews>
    <sheetView showGridLines="0" workbookViewId="0">
      <selection activeCell="C14" sqref="C14"/>
    </sheetView>
  </sheetViews>
  <sheetFormatPr baseColWidth="10" defaultRowHeight="12.75" x14ac:dyDescent="0.2"/>
  <cols>
    <col min="7" max="7" width="68.7109375" customWidth="1"/>
    <col min="8" max="8" width="34.42578125" customWidth="1"/>
    <col min="9" max="34" width="15.5703125" customWidth="1"/>
  </cols>
  <sheetData>
    <row r="1" spans="1:72" ht="15" x14ac:dyDescent="0.25">
      <c r="A1" s="1" t="s">
        <v>22</v>
      </c>
      <c r="B1" s="1"/>
      <c r="C1" s="1"/>
      <c r="D1" s="1" t="s">
        <v>24</v>
      </c>
      <c r="E1" s="1"/>
      <c r="F1" s="12">
        <f>Einstellungen!B1</f>
        <v>0.33333333333333331</v>
      </c>
      <c r="G1" s="1" t="s">
        <v>27</v>
      </c>
      <c r="H1" s="12">
        <v>0</v>
      </c>
      <c r="I1" s="1"/>
      <c r="J1" s="1" t="s">
        <v>54</v>
      </c>
      <c r="K1" s="25">
        <v>0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</row>
    <row r="2" spans="1:72" ht="15" x14ac:dyDescent="0.25">
      <c r="A2" s="1"/>
      <c r="B2" s="1"/>
      <c r="C2" s="1"/>
      <c r="D2" s="1" t="s">
        <v>25</v>
      </c>
      <c r="E2" s="1"/>
      <c r="F2" s="12">
        <f>0</f>
        <v>0</v>
      </c>
      <c r="G2" s="1" t="s">
        <v>28</v>
      </c>
      <c r="H2" s="12">
        <f>IF(COUNT(E7:E50)&gt;0,AVERAGE(E7:E50),0)</f>
        <v>0</v>
      </c>
      <c r="I2" s="1"/>
      <c r="J2" s="1" t="s">
        <v>51</v>
      </c>
      <c r="K2" s="25">
        <v>0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</row>
    <row r="3" spans="1:72" ht="15" x14ac:dyDescent="0.25">
      <c r="A3" s="1"/>
      <c r="B3" s="1"/>
      <c r="C3" s="1"/>
      <c r="D3" s="1" t="s">
        <v>26</v>
      </c>
      <c r="E3" s="1"/>
      <c r="F3" s="12">
        <f>SUM(F7:F50) - (H3 * Einstellungen!B1)</f>
        <v>0</v>
      </c>
      <c r="G3" s="1" t="s">
        <v>52</v>
      </c>
      <c r="H3" s="13">
        <v>0</v>
      </c>
      <c r="I3" s="1"/>
      <c r="J3" s="1" t="s">
        <v>57</v>
      </c>
      <c r="K3" s="12">
        <f>SUM(D7:D50)</f>
        <v>0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</row>
    <row r="4" spans="1:72" ht="15" x14ac:dyDescent="0.25">
      <c r="A4" s="1"/>
      <c r="B4" s="1"/>
      <c r="C4" s="1"/>
      <c r="D4" s="1" t="s">
        <v>56</v>
      </c>
      <c r="E4" s="1"/>
      <c r="F4" s="12">
        <f>SUM(E7:E50)</f>
        <v>0</v>
      </c>
      <c r="G4" s="1" t="s">
        <v>53</v>
      </c>
      <c r="H4" s="13">
        <f>IF(ROUNDDOWN(F3/Einstellungen!B1,0)-H3&gt;0,ROUNDDOWN(F3/Einstellungen!B1,0)-H3,0)</f>
        <v>0</v>
      </c>
      <c r="I4" s="1"/>
      <c r="J4" s="1"/>
      <c r="K4" s="1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</row>
    <row r="5" spans="1:72" x14ac:dyDescent="0.2">
      <c r="A5" s="6"/>
      <c r="B5" s="6"/>
      <c r="C5" s="6"/>
      <c r="D5" s="6"/>
      <c r="E5" s="6"/>
      <c r="F5" s="6"/>
      <c r="G5" s="6"/>
      <c r="H5" s="6"/>
      <c r="I5" s="6"/>
      <c r="J5" s="6"/>
    </row>
    <row r="6" spans="1:72" ht="14.25" x14ac:dyDescent="0.2">
      <c r="A6" s="5" t="s">
        <v>2</v>
      </c>
      <c r="B6" s="5" t="s">
        <v>3</v>
      </c>
      <c r="C6" s="5" t="s">
        <v>4</v>
      </c>
      <c r="D6" s="5" t="s">
        <v>12</v>
      </c>
      <c r="E6" s="5" t="s">
        <v>5</v>
      </c>
      <c r="F6" s="5" t="s">
        <v>9</v>
      </c>
      <c r="G6" s="5" t="s">
        <v>6</v>
      </c>
      <c r="H6" s="5" t="s">
        <v>7</v>
      </c>
      <c r="I6" s="5" t="s">
        <v>8</v>
      </c>
      <c r="J6" s="5" t="s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8675" r:id="rId3" name="Image3">
          <controlPr defaultSize="0" autoLine="0" r:id="rId4">
            <anchor moveWithCells="1">
              <from>
                <xdr:col>13</xdr:col>
                <xdr:colOff>609600</xdr:colOff>
                <xdr:row>0</xdr:row>
                <xdr:rowOff>19050</xdr:rowOff>
              </from>
              <to>
                <xdr:col>13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28675" r:id="rId3" name="Image3"/>
      </mc:Fallback>
    </mc:AlternateContent>
    <mc:AlternateContent xmlns:mc="http://schemas.openxmlformats.org/markup-compatibility/2006">
      <mc:Choice Requires="x14">
        <control shapeId="28674" r:id="rId5" name="Image2">
          <controlPr defaultSize="0" autoLine="0" r:id="rId6">
            <anchor moveWithCells="1">
              <from>
                <xdr:col>13</xdr:col>
                <xdr:colOff>333375</xdr:colOff>
                <xdr:row>0</xdr:row>
                <xdr:rowOff>19050</xdr:rowOff>
              </from>
              <to>
                <xdr:col>13</xdr:col>
                <xdr:colOff>600075</xdr:colOff>
                <xdr:row>1</xdr:row>
                <xdr:rowOff>85725</xdr:rowOff>
              </to>
            </anchor>
          </controlPr>
        </control>
      </mc:Choice>
      <mc:Fallback>
        <control shapeId="28674" r:id="rId5" name="Image2"/>
      </mc:Fallback>
    </mc:AlternateContent>
    <mc:AlternateContent xmlns:mc="http://schemas.openxmlformats.org/markup-compatibility/2006">
      <mc:Choice Requires="x14">
        <control shapeId="28673" r:id="rId7" name="Image1">
          <controlPr defaultSize="0" autoLine="0" r:id="rId8">
            <anchor moveWithCells="1">
              <from>
                <xdr:col>13</xdr:col>
                <xdr:colOff>0</xdr:colOff>
                <xdr:row>0</xdr:row>
                <xdr:rowOff>19050</xdr:rowOff>
              </from>
              <to>
                <xdr:col>13</xdr:col>
                <xdr:colOff>323850</xdr:colOff>
                <xdr:row>1</xdr:row>
                <xdr:rowOff>85725</xdr:rowOff>
              </to>
            </anchor>
          </controlPr>
        </control>
      </mc:Choice>
      <mc:Fallback>
        <control shapeId="28673" r:id="rId7" name="Image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/>
  <dimension ref="A1:BT6"/>
  <sheetViews>
    <sheetView showGridLines="0" workbookViewId="0">
      <selection activeCell="C14" sqref="C14"/>
    </sheetView>
  </sheetViews>
  <sheetFormatPr baseColWidth="10" defaultRowHeight="12.75" x14ac:dyDescent="0.2"/>
  <cols>
    <col min="7" max="7" width="68.7109375" customWidth="1"/>
    <col min="8" max="8" width="34.42578125" customWidth="1"/>
    <col min="9" max="34" width="15.5703125" customWidth="1"/>
  </cols>
  <sheetData>
    <row r="1" spans="1:72" ht="15" x14ac:dyDescent="0.25">
      <c r="A1" s="1" t="s">
        <v>23</v>
      </c>
      <c r="B1" s="1"/>
      <c r="C1" s="1"/>
      <c r="D1" s="1" t="s">
        <v>24</v>
      </c>
      <c r="E1" s="1"/>
      <c r="F1" s="12">
        <f>Einstellungen!B1</f>
        <v>0.33333333333333331</v>
      </c>
      <c r="G1" s="1" t="s">
        <v>27</v>
      </c>
      <c r="H1" s="12">
        <v>0</v>
      </c>
      <c r="I1" s="1"/>
      <c r="J1" s="1" t="s">
        <v>54</v>
      </c>
      <c r="K1" s="25">
        <v>0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</row>
    <row r="2" spans="1:72" ht="15" x14ac:dyDescent="0.25">
      <c r="A2" s="1"/>
      <c r="B2" s="1"/>
      <c r="C2" s="1"/>
      <c r="D2" s="1" t="s">
        <v>25</v>
      </c>
      <c r="E2" s="1"/>
      <c r="F2" s="12">
        <f>0</f>
        <v>0</v>
      </c>
      <c r="G2" s="1" t="s">
        <v>28</v>
      </c>
      <c r="H2" s="12">
        <f>IF(COUNT(E7:E50)&gt;0,AVERAGE(E7:E50),0)</f>
        <v>0</v>
      </c>
      <c r="I2" s="1"/>
      <c r="J2" s="1" t="s">
        <v>51</v>
      </c>
      <c r="K2" s="25">
        <v>0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</row>
    <row r="3" spans="1:72" ht="15" x14ac:dyDescent="0.25">
      <c r="A3" s="1"/>
      <c r="B3" s="1"/>
      <c r="C3" s="1"/>
      <c r="D3" s="1" t="s">
        <v>26</v>
      </c>
      <c r="E3" s="1"/>
      <c r="F3" s="12">
        <f>SUM(F7:F50) - (H3 * Einstellungen!B1)</f>
        <v>0</v>
      </c>
      <c r="G3" s="1" t="s">
        <v>52</v>
      </c>
      <c r="H3" s="13">
        <v>0</v>
      </c>
      <c r="I3" s="1"/>
      <c r="J3" s="1" t="s">
        <v>57</v>
      </c>
      <c r="K3" s="12">
        <f>SUM(D7:D50)</f>
        <v>0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</row>
    <row r="4" spans="1:72" ht="15" x14ac:dyDescent="0.25">
      <c r="A4" s="1"/>
      <c r="B4" s="1"/>
      <c r="C4" s="1"/>
      <c r="D4" s="1" t="s">
        <v>56</v>
      </c>
      <c r="E4" s="1"/>
      <c r="F4" s="12">
        <f>SUM(E7:E50)</f>
        <v>0</v>
      </c>
      <c r="G4" s="1" t="s">
        <v>53</v>
      </c>
      <c r="H4" s="13">
        <f>IF(ROUNDDOWN(F3/Einstellungen!B1,0)-H3&gt;0,ROUNDDOWN(F3/Einstellungen!B1,0)-H3,0)</f>
        <v>0</v>
      </c>
      <c r="I4" s="1"/>
      <c r="J4" s="1"/>
      <c r="K4" s="1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</row>
    <row r="5" spans="1:72" x14ac:dyDescent="0.2">
      <c r="A5" s="6"/>
      <c r="B5" s="6"/>
      <c r="C5" s="6"/>
      <c r="D5" s="6"/>
      <c r="E5" s="6"/>
      <c r="F5" s="6"/>
      <c r="G5" s="6"/>
      <c r="H5" s="6"/>
      <c r="I5" s="6"/>
      <c r="J5" s="6"/>
    </row>
    <row r="6" spans="1:72" ht="14.25" x14ac:dyDescent="0.2">
      <c r="A6" s="5" t="s">
        <v>2</v>
      </c>
      <c r="B6" s="5" t="s">
        <v>3</v>
      </c>
      <c r="C6" s="5" t="s">
        <v>4</v>
      </c>
      <c r="D6" s="5" t="s">
        <v>12</v>
      </c>
      <c r="E6" s="5" t="s">
        <v>5</v>
      </c>
      <c r="F6" s="5" t="s">
        <v>9</v>
      </c>
      <c r="G6" s="5" t="s">
        <v>6</v>
      </c>
      <c r="H6" s="5" t="s">
        <v>7</v>
      </c>
      <c r="I6" s="5" t="s">
        <v>8</v>
      </c>
      <c r="J6" s="5" t="s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9699" r:id="rId3" name="Addayico">
          <controlPr defaultSize="0" autoLine="0" r:id="rId4">
            <anchor moveWithCells="1">
              <from>
                <xdr:col>13</xdr:col>
                <xdr:colOff>609600</xdr:colOff>
                <xdr:row>0</xdr:row>
                <xdr:rowOff>38100</xdr:rowOff>
              </from>
              <to>
                <xdr:col>13</xdr:col>
                <xdr:colOff>876300</xdr:colOff>
                <xdr:row>1</xdr:row>
                <xdr:rowOff>104775</xdr:rowOff>
              </to>
            </anchor>
          </controlPr>
        </control>
      </mc:Choice>
      <mc:Fallback>
        <control shapeId="29699" r:id="rId3" name="Addayico"/>
      </mc:Fallback>
    </mc:AlternateContent>
    <mc:AlternateContent xmlns:mc="http://schemas.openxmlformats.org/markup-compatibility/2006">
      <mc:Choice Requires="x14">
        <control shapeId="29698" r:id="rId5" name="Aktico">
          <controlPr defaultSize="0" autoLine="0" r:id="rId6">
            <anchor moveWithCells="1">
              <from>
                <xdr:col>13</xdr:col>
                <xdr:colOff>333375</xdr:colOff>
                <xdr:row>0</xdr:row>
                <xdr:rowOff>38100</xdr:rowOff>
              </from>
              <to>
                <xdr:col>13</xdr:col>
                <xdr:colOff>600075</xdr:colOff>
                <xdr:row>1</xdr:row>
                <xdr:rowOff>104775</xdr:rowOff>
              </to>
            </anchor>
          </controlPr>
        </control>
      </mc:Choice>
      <mc:Fallback>
        <control shapeId="29698" r:id="rId5" name="Aktico"/>
      </mc:Fallback>
    </mc:AlternateContent>
    <mc:AlternateContent xmlns:mc="http://schemas.openxmlformats.org/markup-compatibility/2006">
      <mc:Choice Requires="x14">
        <control shapeId="29697" r:id="rId7" name="Saveico">
          <controlPr defaultSize="0" autoLine="0" r:id="rId8">
            <anchor moveWithCells="1">
              <from>
                <xdr:col>13</xdr:col>
                <xdr:colOff>0</xdr:colOff>
                <xdr:row>0</xdr:row>
                <xdr:rowOff>38100</xdr:rowOff>
              </from>
              <to>
                <xdr:col>13</xdr:col>
                <xdr:colOff>323850</xdr:colOff>
                <xdr:row>1</xdr:row>
                <xdr:rowOff>104775</xdr:rowOff>
              </to>
            </anchor>
          </controlPr>
        </control>
      </mc:Choice>
      <mc:Fallback>
        <control shapeId="29697" r:id="rId7" name="Saveico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/>
  <dimension ref="A1:CK41"/>
  <sheetViews>
    <sheetView showGridLines="0" zoomScale="70" zoomScaleNormal="70" workbookViewId="0">
      <selection activeCell="H47" sqref="H47"/>
    </sheetView>
  </sheetViews>
  <sheetFormatPr baseColWidth="10" defaultRowHeight="12.75" x14ac:dyDescent="0.2"/>
  <cols>
    <col min="3" max="3" width="14.7109375" customWidth="1"/>
    <col min="4" max="4" width="14.5703125" customWidth="1"/>
    <col min="5" max="5" width="18.7109375" customWidth="1"/>
    <col min="6" max="6" width="15.5703125" customWidth="1"/>
    <col min="7" max="7" width="16.5703125" customWidth="1"/>
    <col min="8" max="8" width="17.5703125" customWidth="1"/>
    <col min="9" max="9" width="16.85546875" customWidth="1"/>
    <col min="10" max="10" width="18.7109375" customWidth="1"/>
    <col min="11" max="11" width="17.85546875" customWidth="1"/>
    <col min="12" max="14" width="18.7109375" customWidth="1"/>
    <col min="16" max="16" width="11.42578125" customWidth="1"/>
    <col min="17" max="17" width="15.85546875" customWidth="1"/>
  </cols>
  <sheetData>
    <row r="1" spans="1:89" ht="15" x14ac:dyDescent="0.25">
      <c r="A1" s="1" t="s">
        <v>59</v>
      </c>
      <c r="B1" s="1"/>
      <c r="C1" s="1"/>
      <c r="D1" s="1"/>
      <c r="E1" s="1"/>
      <c r="F1" s="12"/>
      <c r="G1" s="1"/>
      <c r="H1" s="12"/>
      <c r="I1" s="1"/>
      <c r="J1" s="1"/>
      <c r="K1" s="13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</row>
    <row r="2" spans="1:89" ht="15" x14ac:dyDescent="0.25">
      <c r="A2" s="1"/>
      <c r="B2" s="1"/>
      <c r="C2" s="1"/>
      <c r="D2" s="1"/>
      <c r="E2" s="1"/>
      <c r="F2" s="12"/>
      <c r="G2" s="1"/>
      <c r="H2" s="12"/>
      <c r="I2" s="1"/>
      <c r="J2" s="1"/>
      <c r="K2" s="13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</row>
    <row r="3" spans="1:89" ht="15" x14ac:dyDescent="0.25">
      <c r="A3" s="1"/>
      <c r="B3" s="1"/>
      <c r="C3" s="1"/>
      <c r="D3" s="1"/>
      <c r="E3" s="1"/>
      <c r="F3" s="12"/>
      <c r="G3" s="1"/>
      <c r="H3" s="13"/>
      <c r="I3" s="1"/>
      <c r="J3" s="1"/>
      <c r="K3" s="1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</row>
    <row r="4" spans="1:89" ht="15" x14ac:dyDescent="0.25">
      <c r="A4" s="1"/>
      <c r="B4" s="1"/>
      <c r="C4" s="1"/>
      <c r="D4" s="1"/>
      <c r="E4" s="1"/>
      <c r="F4" s="12"/>
      <c r="G4" s="1"/>
      <c r="H4" s="13"/>
      <c r="I4" s="1"/>
      <c r="J4" s="1"/>
      <c r="K4" s="1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</row>
    <row r="5" spans="1:89" x14ac:dyDescent="0.2">
      <c r="E5" s="16"/>
    </row>
    <row r="8" spans="1:89" x14ac:dyDescent="0.2">
      <c r="B8" s="19"/>
    </row>
    <row r="9" spans="1:89" ht="18" customHeight="1" x14ac:dyDescent="0.25">
      <c r="B9" s="19"/>
      <c r="C9" s="21" t="s">
        <v>58</v>
      </c>
      <c r="D9" s="21" t="s">
        <v>60</v>
      </c>
      <c r="E9" s="21" t="s">
        <v>61</v>
      </c>
      <c r="F9" s="21" t="s">
        <v>62</v>
      </c>
      <c r="G9" s="21" t="s">
        <v>63</v>
      </c>
      <c r="H9" s="21" t="s">
        <v>64</v>
      </c>
      <c r="I9" s="21" t="s">
        <v>65</v>
      </c>
      <c r="J9" s="21" t="s">
        <v>66</v>
      </c>
      <c r="K9" s="21" t="s">
        <v>67</v>
      </c>
      <c r="L9" s="21" t="s">
        <v>68</v>
      </c>
      <c r="M9" s="21" t="s">
        <v>69</v>
      </c>
      <c r="N9" s="21" t="s">
        <v>70</v>
      </c>
    </row>
    <row r="10" spans="1:89" ht="15" x14ac:dyDescent="0.25">
      <c r="B10" s="20">
        <v>1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</row>
    <row r="11" spans="1:89" ht="15.75" x14ac:dyDescent="0.25">
      <c r="B11" s="21">
        <v>2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Q11" s="21" t="s">
        <v>78</v>
      </c>
    </row>
    <row r="12" spans="1:89" ht="15.75" x14ac:dyDescent="0.25">
      <c r="B12" s="21">
        <v>3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89" ht="15.75" x14ac:dyDescent="0.25">
      <c r="B13" s="21">
        <v>4</v>
      </c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Q13" t="s">
        <v>71</v>
      </c>
      <c r="R13" s="24"/>
    </row>
    <row r="14" spans="1:89" ht="15.75" x14ac:dyDescent="0.25">
      <c r="B14" s="21">
        <v>5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Q14" t="s">
        <v>72</v>
      </c>
      <c r="R14" s="38"/>
    </row>
    <row r="15" spans="1:89" ht="15.75" x14ac:dyDescent="0.25">
      <c r="B15" s="21">
        <v>6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Q15" t="s">
        <v>73</v>
      </c>
      <c r="R15" s="27"/>
    </row>
    <row r="16" spans="1:89" ht="15.75" x14ac:dyDescent="0.25">
      <c r="B16" s="21">
        <v>7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Q16" t="s">
        <v>74</v>
      </c>
      <c r="R16" s="27"/>
    </row>
    <row r="17" spans="2:18" ht="15.75" x14ac:dyDescent="0.25">
      <c r="B17" s="21">
        <v>8</v>
      </c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Q17" t="s">
        <v>75</v>
      </c>
      <c r="R17" s="28"/>
    </row>
    <row r="18" spans="2:18" ht="15.75" x14ac:dyDescent="0.25">
      <c r="B18" s="21">
        <v>9</v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Q18" t="s">
        <v>76</v>
      </c>
      <c r="R18" s="22"/>
    </row>
    <row r="19" spans="2:18" ht="15.75" x14ac:dyDescent="0.25">
      <c r="B19" s="21">
        <v>10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Q19" t="s">
        <v>77</v>
      </c>
      <c r="R19" s="29"/>
    </row>
    <row r="20" spans="2:18" ht="15.75" x14ac:dyDescent="0.25">
      <c r="B20" s="21">
        <v>11</v>
      </c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</row>
    <row r="21" spans="2:18" ht="15.75" x14ac:dyDescent="0.25">
      <c r="B21" s="21">
        <v>12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</row>
    <row r="22" spans="2:18" ht="15.75" x14ac:dyDescent="0.25">
      <c r="B22" s="21">
        <v>13</v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</row>
    <row r="23" spans="2:18" ht="15.75" x14ac:dyDescent="0.25">
      <c r="B23" s="21">
        <v>14</v>
      </c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</row>
    <row r="24" spans="2:18" ht="15.75" x14ac:dyDescent="0.25">
      <c r="B24" s="21">
        <v>15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</row>
    <row r="25" spans="2:18" ht="15.75" x14ac:dyDescent="0.25">
      <c r="B25" s="21">
        <v>16</v>
      </c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</row>
    <row r="26" spans="2:18" ht="15.75" x14ac:dyDescent="0.25">
      <c r="B26" s="21">
        <v>17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2:18" ht="15.75" x14ac:dyDescent="0.25">
      <c r="B27" s="21">
        <v>18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</row>
    <row r="28" spans="2:18" ht="15.75" x14ac:dyDescent="0.25">
      <c r="B28" s="21">
        <v>19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</row>
    <row r="29" spans="2:18" ht="15.75" x14ac:dyDescent="0.25">
      <c r="B29" s="21">
        <v>20</v>
      </c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</row>
    <row r="30" spans="2:18" ht="15.75" x14ac:dyDescent="0.25">
      <c r="B30" s="21">
        <v>21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</row>
    <row r="31" spans="2:18" ht="15.75" x14ac:dyDescent="0.25">
      <c r="B31" s="21">
        <v>22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</row>
    <row r="32" spans="2:18" ht="15.75" x14ac:dyDescent="0.25">
      <c r="B32" s="21">
        <v>23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</row>
    <row r="33" spans="2:14" ht="15.75" x14ac:dyDescent="0.25">
      <c r="B33" s="21">
        <v>24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</row>
    <row r="34" spans="2:14" ht="15.75" x14ac:dyDescent="0.25">
      <c r="B34" s="21">
        <v>25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</row>
    <row r="35" spans="2:14" ht="15.75" x14ac:dyDescent="0.25">
      <c r="B35" s="21">
        <v>26</v>
      </c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</row>
    <row r="36" spans="2:14" ht="15.75" x14ac:dyDescent="0.25">
      <c r="B36" s="21">
        <v>27</v>
      </c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</row>
    <row r="37" spans="2:14" ht="15.75" x14ac:dyDescent="0.25">
      <c r="B37" s="21">
        <v>28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</row>
    <row r="38" spans="2:14" ht="15.75" x14ac:dyDescent="0.25">
      <c r="B38" s="21">
        <v>29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2:14" ht="15.75" x14ac:dyDescent="0.25">
      <c r="B39" s="21">
        <v>30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</row>
    <row r="40" spans="2:14" ht="15.75" x14ac:dyDescent="0.25">
      <c r="B40" s="21">
        <v>31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</row>
    <row r="41" spans="2:14" ht="15.75" x14ac:dyDescent="0.25">
      <c r="B41" s="21">
        <v>31</v>
      </c>
      <c r="C41" s="31"/>
      <c r="D41" s="30"/>
      <c r="E41" s="30"/>
      <c r="F41" s="31"/>
      <c r="G41" s="30"/>
      <c r="H41" s="30"/>
      <c r="I41" s="30"/>
      <c r="J41" s="31"/>
      <c r="K41" s="30"/>
      <c r="L41" s="30"/>
      <c r="M41" s="30"/>
      <c r="N41" s="30"/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26" r:id="rId4" name="Image3">
          <controlPr defaultSize="0" autoLine="0" r:id="rId5">
            <anchor moveWithCells="1">
              <from>
                <xdr:col>24</xdr:col>
                <xdr:colOff>104775</xdr:colOff>
                <xdr:row>0</xdr:row>
                <xdr:rowOff>38100</xdr:rowOff>
              </from>
              <to>
                <xdr:col>24</xdr:col>
                <xdr:colOff>371475</xdr:colOff>
                <xdr:row>1</xdr:row>
                <xdr:rowOff>104775</xdr:rowOff>
              </to>
            </anchor>
          </controlPr>
        </control>
      </mc:Choice>
      <mc:Fallback>
        <control shapeId="30726" r:id="rId4" name="Image3"/>
      </mc:Fallback>
    </mc:AlternateContent>
    <mc:AlternateContent xmlns:mc="http://schemas.openxmlformats.org/markup-compatibility/2006">
      <mc:Choice Requires="x14">
        <control shapeId="30725" r:id="rId6" name="Image2">
          <controlPr defaultSize="0" autoLine="0" r:id="rId7">
            <anchor moveWithCells="1">
              <from>
                <xdr:col>23</xdr:col>
                <xdr:colOff>590550</xdr:colOff>
                <xdr:row>0</xdr:row>
                <xdr:rowOff>38100</xdr:rowOff>
              </from>
              <to>
                <xdr:col>24</xdr:col>
                <xdr:colOff>95250</xdr:colOff>
                <xdr:row>1</xdr:row>
                <xdr:rowOff>104775</xdr:rowOff>
              </to>
            </anchor>
          </controlPr>
        </control>
      </mc:Choice>
      <mc:Fallback>
        <control shapeId="30725" r:id="rId6" name="Image2"/>
      </mc:Fallback>
    </mc:AlternateContent>
    <mc:AlternateContent xmlns:mc="http://schemas.openxmlformats.org/markup-compatibility/2006">
      <mc:Choice Requires="x14">
        <control shapeId="30724" r:id="rId8" name="Image1">
          <controlPr defaultSize="0" autoLine="0" r:id="rId9">
            <anchor moveWithCells="1">
              <from>
                <xdr:col>23</xdr:col>
                <xdr:colOff>257175</xdr:colOff>
                <xdr:row>0</xdr:row>
                <xdr:rowOff>38100</xdr:rowOff>
              </from>
              <to>
                <xdr:col>23</xdr:col>
                <xdr:colOff>581025</xdr:colOff>
                <xdr:row>1</xdr:row>
                <xdr:rowOff>104775</xdr:rowOff>
              </to>
            </anchor>
          </controlPr>
        </control>
      </mc:Choice>
      <mc:Fallback>
        <control shapeId="30724" r:id="rId8" name="Image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8"/>
  <dimension ref="A1:B7"/>
  <sheetViews>
    <sheetView showGridLines="0" workbookViewId="0">
      <selection activeCell="C7" sqref="C7"/>
    </sheetView>
  </sheetViews>
  <sheetFormatPr baseColWidth="10" defaultRowHeight="12.75" x14ac:dyDescent="0.2"/>
  <cols>
    <col min="1" max="1" width="39.140625" customWidth="1"/>
    <col min="2" max="2" width="29.7109375" customWidth="1"/>
  </cols>
  <sheetData>
    <row r="1" spans="1:2" x14ac:dyDescent="0.2">
      <c r="A1" t="s">
        <v>40</v>
      </c>
      <c r="B1" s="18">
        <v>0.33333333333333331</v>
      </c>
    </row>
    <row r="2" spans="1:2" x14ac:dyDescent="0.2">
      <c r="A2" t="s">
        <v>39</v>
      </c>
      <c r="B2" s="17">
        <v>0</v>
      </c>
    </row>
    <row r="3" spans="1:2" x14ac:dyDescent="0.2">
      <c r="A3" t="s">
        <v>38</v>
      </c>
      <c r="B3" s="17">
        <v>35</v>
      </c>
    </row>
    <row r="4" spans="1:2" x14ac:dyDescent="0.2">
      <c r="A4" t="s">
        <v>46</v>
      </c>
      <c r="B4" s="17" t="s">
        <v>48</v>
      </c>
    </row>
    <row r="5" spans="1:2" x14ac:dyDescent="0.2">
      <c r="A5" t="s">
        <v>47</v>
      </c>
      <c r="B5" s="17" t="s">
        <v>49</v>
      </c>
    </row>
    <row r="6" spans="1:2" ht="18" customHeight="1" x14ac:dyDescent="0.2">
      <c r="A6" t="s">
        <v>79</v>
      </c>
      <c r="B6" s="17"/>
    </row>
    <row r="7" spans="1:2" ht="19.5" customHeight="1" x14ac:dyDescent="0.2">
      <c r="A7" t="s">
        <v>80</v>
      </c>
      <c r="B7" s="1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MakeKalender">
          <controlPr autoLine="0" r:id="rId4">
            <anchor moveWithCells="1">
              <from>
                <xdr:col>1</xdr:col>
                <xdr:colOff>28575</xdr:colOff>
                <xdr:row>5</xdr:row>
                <xdr:rowOff>28575</xdr:rowOff>
              </from>
              <to>
                <xdr:col>1</xdr:col>
                <xdr:colOff>1209675</xdr:colOff>
                <xdr:row>5</xdr:row>
                <xdr:rowOff>209550</xdr:rowOff>
              </to>
            </anchor>
          </controlPr>
        </control>
      </mc:Choice>
      <mc:Fallback>
        <control shapeId="16385" r:id="rId3" name="MakeKalender"/>
      </mc:Fallback>
    </mc:AlternateContent>
    <mc:AlternateContent xmlns:mc="http://schemas.openxmlformats.org/markup-compatibility/2006">
      <mc:Choice Requires="x14">
        <control shapeId="16386" r:id="rId5" name="Speichernd">
          <controlPr autoLine="0" r:id="rId6">
            <anchor moveWithCells="1">
              <from>
                <xdr:col>1</xdr:col>
                <xdr:colOff>28575</xdr:colOff>
                <xdr:row>6</xdr:row>
                <xdr:rowOff>28575</xdr:rowOff>
              </from>
              <to>
                <xdr:col>1</xdr:col>
                <xdr:colOff>1209675</xdr:colOff>
                <xdr:row>6</xdr:row>
                <xdr:rowOff>209550</xdr:rowOff>
              </to>
            </anchor>
          </controlPr>
        </control>
      </mc:Choice>
      <mc:Fallback>
        <control shapeId="16386" r:id="rId5" name="Speichernd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16</vt:i4>
      </vt:variant>
    </vt:vector>
  </HeadingPairs>
  <TitlesOfParts>
    <vt:vector size="16" baseType="lpstr">
      <vt:lpstr>Übersicht</vt:lpstr>
      <vt:lpstr>Januar</vt:lpstr>
      <vt:lpstr>Tabelle2</vt:lpstr>
      <vt:lpstr>Februar</vt:lpstr>
      <vt:lpstr>März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JahresKalender</vt:lpstr>
      <vt:lpstr>Einstellungen</vt:lpstr>
    </vt:vector>
  </TitlesOfParts>
  <Company>SIEMENS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Krammer, Claudia (E T HP GS DE OE ME)</dc:creator>
  <cp:lastModifiedBy>Asus</cp:lastModifiedBy>
  <cp:lastPrinted>2017-08-26T06:42:58Z</cp:lastPrinted>
  <dcterms:created xsi:type="dcterms:W3CDTF">2017-08-20T11:49:33Z</dcterms:created>
  <dcterms:modified xsi:type="dcterms:W3CDTF">2017-08-27T14:18:28Z</dcterms:modified>
</cp:coreProperties>
</file>